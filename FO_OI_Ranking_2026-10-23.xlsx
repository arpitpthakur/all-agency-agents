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I Ranking" sheetId="1" state="visible" r:id="rId3"/>
    <sheet name="Method &amp; notes" sheetId="2" state="visible" r:id="rId4"/>
  </sheets>
  <definedNames>
    <definedName function="false" hidden="true" localSheetId="0" name="_xlnm._FilterDatabase" vbProcedure="false">'OI Ranking'!$A$3:$T$216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<sst xmlns="http://schemas.openxmlformats.org/spreadsheetml/2006/main" count="298" uniqueCount="272">
  <si>
    <t xml:space="preserve">F&amp;O stocks ranked by positive OI build-up (data: NSE F&amp;O bhavcopy, 22-Sep to 22-Oct-2026; live columns: Kite, 23-Oct 11:03 IST)</t>
  </si>
  <si>
    <t xml:space="preserve">Rank</t>
  </si>
  <si>
    <t xml:space="preserve">Symbol</t>
  </si>
  <si>
    <t xml:space="preserve">Bull score</t>
  </si>
  <si>
    <t xml:space="preserve">Price % 1-day (vs 21-Oct)</t>
  </si>
  <si>
    <t xml:space="preserve">Fut OI % 1-day (vs 21-Oct)</t>
  </si>
  <si>
    <t xml:space="preserve">Signal 1d</t>
  </si>
  <si>
    <t xml:space="preserve">Price % 3 sessions (vs 16-Oct)</t>
  </si>
  <si>
    <t xml:space="preserve">Fut OI % 3 sessions (vs 16-Oct)</t>
  </si>
  <si>
    <t xml:space="preserve">Signal 3d</t>
  </si>
  <si>
    <t xml:space="preserve">Price % 14 days (vs 8-Oct)</t>
  </si>
  <si>
    <t xml:space="preserve">Fut OI % 14 days (vs 8-Oct)</t>
  </si>
  <si>
    <t xml:space="preserve">Signal 14d</t>
  </si>
  <si>
    <t xml:space="preserve">Price % 1 month (vs 22-Sep)</t>
  </si>
  <si>
    <t xml:space="preserve">Fut OI % 1 month (vs 22-Sep)</t>
  </si>
  <si>
    <t xml:space="preserve">Signal 1m</t>
  </si>
  <si>
    <t xml:space="preserve">PCR (OI) 22-Oct</t>
  </si>
  <si>
    <t xml:space="preserve">PCR (OI) 8-Oct</t>
  </si>
  <si>
    <t xml:space="preserve">Today live: price %</t>
  </si>
  <si>
    <t xml:space="preserve">Today live: OI %</t>
  </si>
  <si>
    <t xml:space="preserve">Today live: signal</t>
  </si>
  <si>
    <t xml:space="preserve">Spot 22-Oct</t>
  </si>
  <si>
    <t xml:space="preserve">Spot 21-Oct</t>
  </si>
  <si>
    <t xml:space="preserve">Spot 16-Oct</t>
  </si>
  <si>
    <t xml:space="preserve">Spot 8-Oct</t>
  </si>
  <si>
    <t xml:space="preserve">Spot 22-Sep</t>
  </si>
  <si>
    <t xml:space="preserve">Fut OI 22-Oct</t>
  </si>
  <si>
    <t xml:space="preserve">Fut OI 21-Oct</t>
  </si>
  <si>
    <t xml:space="preserve">Fut OI 16-Oct</t>
  </si>
  <si>
    <t xml:space="preserve">Fut OI 8-Oct</t>
  </si>
  <si>
    <t xml:space="preserve">Fut OI 22-Sep</t>
  </si>
  <si>
    <t xml:space="preserve">Put OI 22-Oct</t>
  </si>
  <si>
    <t xml:space="preserve">Call OI 22-Oct</t>
  </si>
  <si>
    <t xml:space="preserve">Put OI 8-Oct</t>
  </si>
  <si>
    <t xml:space="preserve">Call OI 8-Oct</t>
  </si>
  <si>
    <t xml:space="preserve">ANANDRATHI</t>
  </si>
  <si>
    <t xml:space="preserve">Long Buildup</t>
  </si>
  <si>
    <t xml:space="preserve">UNIONBANK</t>
  </si>
  <si>
    <t xml:space="preserve">Short Buildup</t>
  </si>
  <si>
    <t xml:space="preserve">FEDERALBNK</t>
  </si>
  <si>
    <t xml:space="preserve">WIPRO</t>
  </si>
  <si>
    <t xml:space="preserve">PNB</t>
  </si>
  <si>
    <t xml:space="preserve">TECHM</t>
  </si>
  <si>
    <t xml:space="preserve">BAJAJHLDNG</t>
  </si>
  <si>
    <t xml:space="preserve">Long Unwinding</t>
  </si>
  <si>
    <t xml:space="preserve">TCS</t>
  </si>
  <si>
    <t xml:space="preserve">HCLTECH</t>
  </si>
  <si>
    <t xml:space="preserve">ZYDUSLIFE</t>
  </si>
  <si>
    <t xml:space="preserve">INDHOTEL</t>
  </si>
  <si>
    <t xml:space="preserve">PERSISTENT</t>
  </si>
  <si>
    <t xml:space="preserve">BANKBARODA</t>
  </si>
  <si>
    <t xml:space="preserve">ULTRACEMCO</t>
  </si>
  <si>
    <t xml:space="preserve">INDIANB</t>
  </si>
  <si>
    <t xml:space="preserve">SAGILITY</t>
  </si>
  <si>
    <t xml:space="preserve">ICICIBANK</t>
  </si>
  <si>
    <t xml:space="preserve">INFY</t>
  </si>
  <si>
    <t xml:space="preserve">CIPLA</t>
  </si>
  <si>
    <t xml:space="preserve">ICICIGI</t>
  </si>
  <si>
    <t xml:space="preserve">DRREDDY</t>
  </si>
  <si>
    <t xml:space="preserve">ADANIPORTS</t>
  </si>
  <si>
    <t xml:space="preserve">GAIL</t>
  </si>
  <si>
    <t xml:space="preserve">BLUESTARCO</t>
  </si>
  <si>
    <t xml:space="preserve">PHOENIXLTD</t>
  </si>
  <si>
    <t xml:space="preserve">CANBK</t>
  </si>
  <si>
    <t xml:space="preserve">SBIN</t>
  </si>
  <si>
    <t xml:space="preserve">BHARTIARTL</t>
  </si>
  <si>
    <t xml:space="preserve">MPHASIS</t>
  </si>
  <si>
    <t xml:space="preserve">OIL</t>
  </si>
  <si>
    <t xml:space="preserve">AMBUJACEM</t>
  </si>
  <si>
    <t xml:space="preserve">KAYNES</t>
  </si>
  <si>
    <t xml:space="preserve">NHPC</t>
  </si>
  <si>
    <t xml:space="preserve">HAL</t>
  </si>
  <si>
    <t xml:space="preserve">IOC</t>
  </si>
  <si>
    <t xml:space="preserve">BANKINDIA</t>
  </si>
  <si>
    <t xml:space="preserve">TATAELXSI</t>
  </si>
  <si>
    <t xml:space="preserve">COFORGE</t>
  </si>
  <si>
    <t xml:space="preserve">JSWSTEEL</t>
  </si>
  <si>
    <t xml:space="preserve">SBICARD</t>
  </si>
  <si>
    <t xml:space="preserve">SHREECEM</t>
  </si>
  <si>
    <t xml:space="preserve">ONGC</t>
  </si>
  <si>
    <t xml:space="preserve">KOTAKBANK</t>
  </si>
  <si>
    <t xml:space="preserve">LTM</t>
  </si>
  <si>
    <t xml:space="preserve">PETRONET</t>
  </si>
  <si>
    <t xml:space="preserve">SAIL</t>
  </si>
  <si>
    <t xml:space="preserve">IRFC</t>
  </si>
  <si>
    <t xml:space="preserve">SUPREMEIND</t>
  </si>
  <si>
    <t xml:space="preserve">WAAREEENER</t>
  </si>
  <si>
    <t xml:space="preserve">TORNTPHARM</t>
  </si>
  <si>
    <t xml:space="preserve">TATAPOWER</t>
  </si>
  <si>
    <t xml:space="preserve">HAVELLS</t>
  </si>
  <si>
    <t xml:space="preserve">INDUSTOWER</t>
  </si>
  <si>
    <t xml:space="preserve">RECLTD</t>
  </si>
  <si>
    <t xml:space="preserve">GODREJCP</t>
  </si>
  <si>
    <t xml:space="preserve">KPITTECH</t>
  </si>
  <si>
    <t xml:space="preserve">GODREJPROP</t>
  </si>
  <si>
    <t xml:space="preserve">GRASIM</t>
  </si>
  <si>
    <t xml:space="preserve">PNBHOUSING</t>
  </si>
  <si>
    <t xml:space="preserve">GLENMARK</t>
  </si>
  <si>
    <t xml:space="preserve">DLF</t>
  </si>
  <si>
    <t xml:space="preserve">LAURUSLABS</t>
  </si>
  <si>
    <t xml:space="preserve">PIDILITIND</t>
  </si>
  <si>
    <t xml:space="preserve">UPL</t>
  </si>
  <si>
    <t xml:space="preserve">BSE</t>
  </si>
  <si>
    <t xml:space="preserve">LICI</t>
  </si>
  <si>
    <t xml:space="preserve">ADANIENSOL</t>
  </si>
  <si>
    <t xml:space="preserve">BAJAJ-AUTO</t>
  </si>
  <si>
    <t xml:space="preserve">JINDALSTEL</t>
  </si>
  <si>
    <t xml:space="preserve">SUZLON</t>
  </si>
  <si>
    <t xml:space="preserve">KFINTECH</t>
  </si>
  <si>
    <t xml:space="preserve">RELIANCE</t>
  </si>
  <si>
    <t xml:space="preserve">EICHERMOT</t>
  </si>
  <si>
    <t xml:space="preserve">IEX</t>
  </si>
  <si>
    <t xml:space="preserve">HINDPETRO</t>
  </si>
  <si>
    <t xml:space="preserve">ASHOKLEY</t>
  </si>
  <si>
    <t xml:space="preserve">POWERGRID</t>
  </si>
  <si>
    <t xml:space="preserve">TATACONSUM</t>
  </si>
  <si>
    <t xml:space="preserve">ADANIGREEN</t>
  </si>
  <si>
    <t xml:space="preserve">ASTRAL</t>
  </si>
  <si>
    <t xml:space="preserve">HEROMOTOCO</t>
  </si>
  <si>
    <t xml:space="preserve">BDL</t>
  </si>
  <si>
    <t xml:space="preserve">CAMS</t>
  </si>
  <si>
    <t xml:space="preserve">ASIANPAINT</t>
  </si>
  <si>
    <t xml:space="preserve">HDFCBANK</t>
  </si>
  <si>
    <t xml:space="preserve">CHOLAFIN</t>
  </si>
  <si>
    <t xml:space="preserve">PAYTM</t>
  </si>
  <si>
    <t xml:space="preserve">TVSMOTOR</t>
  </si>
  <si>
    <t xml:space="preserve">MARICO</t>
  </si>
  <si>
    <t xml:space="preserve">MOTHERSON</t>
  </si>
  <si>
    <t xml:space="preserve">CONCOR</t>
  </si>
  <si>
    <t xml:space="preserve">NAUKRI</t>
  </si>
  <si>
    <t xml:space="preserve">PRESTIGE</t>
  </si>
  <si>
    <t xml:space="preserve">TATASTEEL</t>
  </si>
  <si>
    <t xml:space="preserve">PFC</t>
  </si>
  <si>
    <t xml:space="preserve">PATANJALI</t>
  </si>
  <si>
    <t xml:space="preserve">M&amp;M</t>
  </si>
  <si>
    <t xml:space="preserve">FORCEMOT</t>
  </si>
  <si>
    <t xml:space="preserve">HDFCLIFE</t>
  </si>
  <si>
    <t xml:space="preserve">RVNL</t>
  </si>
  <si>
    <t xml:space="preserve">GMRAIRPORT</t>
  </si>
  <si>
    <t xml:space="preserve">ATHERENERG</t>
  </si>
  <si>
    <t xml:space="preserve">UNOMINDA</t>
  </si>
  <si>
    <t xml:space="preserve">DABUR</t>
  </si>
  <si>
    <t xml:space="preserve">HDFCAMC</t>
  </si>
  <si>
    <t xml:space="preserve">COCHINSHIP</t>
  </si>
  <si>
    <t xml:space="preserve">SOLARINDS</t>
  </si>
  <si>
    <t xml:space="preserve">GODFRYPHLP</t>
  </si>
  <si>
    <t xml:space="preserve">ALKEM</t>
  </si>
  <si>
    <t xml:space="preserve">BOSCHLTD</t>
  </si>
  <si>
    <t xml:space="preserve">NBCC</t>
  </si>
  <si>
    <t xml:space="preserve">ITC</t>
  </si>
  <si>
    <t xml:space="preserve">DIVISLAB</t>
  </si>
  <si>
    <t xml:space="preserve">IDEA</t>
  </si>
  <si>
    <t xml:space="preserve">NMDC</t>
  </si>
  <si>
    <t xml:space="preserve">APOLLOHOSP</t>
  </si>
  <si>
    <t xml:space="preserve">SUNPHARMA</t>
  </si>
  <si>
    <t xml:space="preserve">MANAPPURAM</t>
  </si>
  <si>
    <t xml:space="preserve">PAGEIND</t>
  </si>
  <si>
    <t xml:space="preserve">KALYANKJIL</t>
  </si>
  <si>
    <t xml:space="preserve">IREDA</t>
  </si>
  <si>
    <t xml:space="preserve">LUPIN</t>
  </si>
  <si>
    <t xml:space="preserve">COALINDIA</t>
  </si>
  <si>
    <t xml:space="preserve">HINDZINC</t>
  </si>
  <si>
    <t xml:space="preserve">JIOFIN</t>
  </si>
  <si>
    <t xml:space="preserve">APLAPOLLO</t>
  </si>
  <si>
    <t xml:space="preserve">MANKIND</t>
  </si>
  <si>
    <t xml:space="preserve">360ONE</t>
  </si>
  <si>
    <t xml:space="preserve">CROMPTON</t>
  </si>
  <si>
    <t xml:space="preserve">LICHSGFIN</t>
  </si>
  <si>
    <t xml:space="preserve">BIOCON</t>
  </si>
  <si>
    <t xml:space="preserve">BPCL</t>
  </si>
  <si>
    <t xml:space="preserve">NATIONALUM</t>
  </si>
  <si>
    <t xml:space="preserve">JUBLFOOD</t>
  </si>
  <si>
    <t xml:space="preserve">UNITDSPR</t>
  </si>
  <si>
    <t xml:space="preserve">UJJIVANSFB</t>
  </si>
  <si>
    <t xml:space="preserve">SIEMENS</t>
  </si>
  <si>
    <t xml:space="preserve">BANDHANBNK</t>
  </si>
  <si>
    <t xml:space="preserve">PIIND</t>
  </si>
  <si>
    <t xml:space="preserve">BEL</t>
  </si>
  <si>
    <t xml:space="preserve">BAJFINANCE</t>
  </si>
  <si>
    <t xml:space="preserve">PGEL</t>
  </si>
  <si>
    <t xml:space="preserve">MCX</t>
  </si>
  <si>
    <t xml:space="preserve">SBILIFE</t>
  </si>
  <si>
    <t xml:space="preserve">CDSL</t>
  </si>
  <si>
    <t xml:space="preserve">MAZDOCK</t>
  </si>
  <si>
    <t xml:space="preserve">AXISBANK</t>
  </si>
  <si>
    <t xml:space="preserve">DIXON</t>
  </si>
  <si>
    <t xml:space="preserve">CUMMINSIND</t>
  </si>
  <si>
    <t xml:space="preserve">TRENT</t>
  </si>
  <si>
    <t xml:space="preserve">BHARATFORG</t>
  </si>
  <si>
    <t xml:space="preserve">POLYCAB</t>
  </si>
  <si>
    <t xml:space="preserve">BRITANNIA</t>
  </si>
  <si>
    <t xml:space="preserve">OFSS</t>
  </si>
  <si>
    <t xml:space="preserve">DELHIVERY</t>
  </si>
  <si>
    <t xml:space="preserve">INDUSINDBK</t>
  </si>
  <si>
    <t xml:space="preserve">MOTILALOFS</t>
  </si>
  <si>
    <t xml:space="preserve">INDIGO</t>
  </si>
  <si>
    <t xml:space="preserve">NTPC</t>
  </si>
  <si>
    <t xml:space="preserve">VBL</t>
  </si>
  <si>
    <t xml:space="preserve">AMBER</t>
  </si>
  <si>
    <t xml:space="preserve">AUBANK</t>
  </si>
  <si>
    <t xml:space="preserve">VEDL</t>
  </si>
  <si>
    <t xml:space="preserve">POLICYBZR</t>
  </si>
  <si>
    <t xml:space="preserve">AUROPHARMA</t>
  </si>
  <si>
    <t xml:space="preserve">MAHABANK</t>
  </si>
  <si>
    <t xml:space="preserve">IDFCFIRSTB</t>
  </si>
  <si>
    <t xml:space="preserve">HINDALCO</t>
  </si>
  <si>
    <t xml:space="preserve">VOLTAS</t>
  </si>
  <si>
    <t xml:space="preserve">ADANIENT</t>
  </si>
  <si>
    <t xml:space="preserve">ETERNAL</t>
  </si>
  <si>
    <t xml:space="preserve">SHRIRAMFIN</t>
  </si>
  <si>
    <t xml:space="preserve">TITAN</t>
  </si>
  <si>
    <t xml:space="preserve">GVT&amp;D</t>
  </si>
  <si>
    <t xml:space="preserve">BAJAJFINSV</t>
  </si>
  <si>
    <t xml:space="preserve">ICICIPRULI</t>
  </si>
  <si>
    <t xml:space="preserve">MARUTI</t>
  </si>
  <si>
    <t xml:space="preserve">KEI</t>
  </si>
  <si>
    <t xml:space="preserve">LT</t>
  </si>
  <si>
    <t xml:space="preserve">HINDUNILVR</t>
  </si>
  <si>
    <t xml:space="preserve">ADANIPOWER</t>
  </si>
  <si>
    <t xml:space="preserve">LODHA</t>
  </si>
  <si>
    <t xml:space="preserve">SRF</t>
  </si>
  <si>
    <t xml:space="preserve">FORTIS</t>
  </si>
  <si>
    <t xml:space="preserve">JSWENERGY</t>
  </si>
  <si>
    <t xml:space="preserve">NYKAA</t>
  </si>
  <si>
    <t xml:space="preserve">ABCAPITAL</t>
  </si>
  <si>
    <t xml:space="preserve">MUTHOOTFIN</t>
  </si>
  <si>
    <t xml:space="preserve">TMPV</t>
  </si>
  <si>
    <t xml:space="preserve">RBLBANK</t>
  </si>
  <si>
    <t xml:space="preserve">INOXWIND</t>
  </si>
  <si>
    <t xml:space="preserve">NESTLEIND</t>
  </si>
  <si>
    <t xml:space="preserve">HYUNDAI</t>
  </si>
  <si>
    <t xml:space="preserve">COLPAL</t>
  </si>
  <si>
    <t xml:space="preserve">BHEL</t>
  </si>
  <si>
    <t xml:space="preserve">DMART</t>
  </si>
  <si>
    <t xml:space="preserve">ANGELONE</t>
  </si>
  <si>
    <t xml:space="preserve">ENRIN</t>
  </si>
  <si>
    <t xml:space="preserve">SONACOMS</t>
  </si>
  <si>
    <t xml:space="preserve">PREMIERENE</t>
  </si>
  <si>
    <t xml:space="preserve">LTF</t>
  </si>
  <si>
    <t xml:space="preserve">NAM-INDIA</t>
  </si>
  <si>
    <t xml:space="preserve">RADICO</t>
  </si>
  <si>
    <t xml:space="preserve">POWERINDIA</t>
  </si>
  <si>
    <t xml:space="preserve">CGPOWER</t>
  </si>
  <si>
    <t xml:space="preserve">SWIGGY</t>
  </si>
  <si>
    <t xml:space="preserve">OBEROIRLTY</t>
  </si>
  <si>
    <t xml:space="preserve">MAXHEALTH</t>
  </si>
  <si>
    <t xml:space="preserve">MFSL</t>
  </si>
  <si>
    <t xml:space="preserve">VMM</t>
  </si>
  <si>
    <t xml:space="preserve">TIINDIA</t>
  </si>
  <si>
    <t xml:space="preserve">YESBANK</t>
  </si>
  <si>
    <t xml:space="preserve">ABB</t>
  </si>
  <si>
    <t xml:space="preserve">How to read this</t>
  </si>
  <si>
    <t xml:space="preserve">Price up + futures OI up: fresh longs being created (strongest bullish).</t>
  </si>
  <si>
    <t xml:space="preserve">Short Covering</t>
  </si>
  <si>
    <t xml:space="preserve">Price up + OI down: shorts exiting (bullish, but weaker / can fade).</t>
  </si>
  <si>
    <t xml:space="preserve">Price down + OI up: fresh shorts being created (bearish).</t>
  </si>
  <si>
    <t xml:space="preserve">Price down + OI down: longs exiting (bearish, weaker).</t>
  </si>
  <si>
    <t xml:space="preserve">Futures OI</t>
  </si>
  <si>
    <t xml:space="preserve">Sum of open interest (shares) across ALL live stock-futures expiries, so the 27-Oct expiry rollover does not distort the trend.</t>
  </si>
  <si>
    <t xml:space="preserve">Price</t>
  </si>
  <si>
    <t xml:space="preserve">Underlying (spot) close as reported in the NSE F&amp;O bhavcopy.</t>
  </si>
  <si>
    <t xml:space="preserve">PCR (OI)</t>
  </si>
  <si>
    <t xml:space="preserve">Total put OI / total call OI across all strikes &amp; expiries. Above 1 = more put writing (support); below 0.6 = call-heavy (resistance).</t>
  </si>
  <si>
    <t xml:space="preserve">Hardcoded, computed in Python: per window +2 Long Buildup, +1 Short Covering, -1 Long Unwinding, -2 Short Buildup, each scaled by (1 + |OI%|/20 capped at 60% + |price%|/10 capped at 20%), weighted 1-day 0.5, 3-session 1.5, 14-day 1.0, 1-month 1.0. Sorted high to low.</t>
  </si>
  <si>
    <t xml:space="preserve">Today live</t>
  </si>
  <si>
    <t xml:space="preserve">Kite quotes at 23-Oct-2026 11:03 IST for the top 25 + AXISBANK only: Oct futures price vs 22-Oct close; OI = sum of Oct+Nov+Dec futures vs 22-Oct EOD total. Intraday OI is provisional.</t>
  </si>
  <si>
    <t xml:space="preserve">Blue numbers</t>
  </si>
  <si>
    <t xml:space="preserve">Hardcoded source data (bhavcopy / Kite). Black = formulas.</t>
  </si>
  <si>
    <t xml:space="preserve">Source</t>
  </si>
  <si>
    <t xml:space="preserve">NSE archives, F&amp;O UDiFF bhavcopy files BhavCopy_NSE_FO_0_0_0_YYYYMMDD_F_0000.csv (nsearchives.nseindia.com/content/fo/), 15-Sep to 22-Oct-2026; Zerodha Kite live quotes.</t>
  </si>
  <si>
    <t xml:space="preserve">Not advice</t>
  </si>
  <si>
    <t xml:space="preserve">Derivative positioning data only; OI can't tell whether a new position is a hedge. Combine with price levels and fundamentals.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</si>
</sst>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#,##0.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8" min="7" style="0" width="11"/>
    <col collapsed="false" customWidth="true" hidden="false" outlineLevel="0" max="9" min="9" style="0" width="15"/>
    <col collapsed="false" customWidth="true" hidden="false" outlineLevel="0" max="11" min="10" style="0" width="11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15"/>
    <col collapsed="false" customWidth="true" hidden="false" outlineLevel="0" max="17" min="16" style="0" width="11"/>
    <col collapsed="false" customWidth="true" hidden="false" outlineLevel="0" max="18" min="18" style="0" width="15"/>
    <col collapsed="false" customWidth="true" hidden="false" outlineLevel="0" max="35" min="19" style="0" width="11"/>
  </cols>
  <sheetData>
    <row r="1" customFormat="false" ht="1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</row>
    <row r="4" customFormat="false" ht="15" hidden="false" customHeight="false" outlineLevel="0" collapsed="false">
      <c r="A4" s="3" t="n">
        <v>1</v>
      </c>
      <c r="B4" s="4" t="s">
        <v>35</v>
      </c>
      <c r="C4" s="5" t="n">
        <v>19.16</v>
      </c>
      <c r="D4" s="6" t="n">
        <f aca="false">IFERROR(V4/W4-1,"")</f>
        <v>0.0103958798314479</v>
      </c>
      <c r="E4" s="6" t="n">
        <f aca="false">IFERROR(AA4/AB4-1,"")</f>
        <v>-0.0115118956254797</v>
      </c>
      <c r="F4" s="3" t="str">
        <f aca="false">IF(OR(D4="",E4=""),"n/a (new)",IF(D4&gt;=0,IF(E4&gt;=0,"Long Buildup","Short Covering"),IF(E4&gt;=0,"Short Buildup","Long Unwinding")))</f>
        <v>Short Covering</v>
      </c>
      <c r="G4" s="6" t="n">
        <f aca="false">IFERROR(V4/X4-1,"")</f>
        <v>0.0292077603370839</v>
      </c>
      <c r="H4" s="6" t="n">
        <f aca="false">IFERROR(AA4/AC4-1,"")</f>
        <v>0.394464319337225</v>
      </c>
      <c r="I4" s="3" t="str">
        <f aca="false">IF(OR(G4="",H4=""),"n/a (new)",IF(G4&gt;=0,IF(H4&gt;=0,"Long Buildup","Short Covering"),IF(H4&gt;=0,"Short Buildup","Long Unwinding")))</f>
        <v>Long Buildup</v>
      </c>
      <c r="J4" s="6" t="n">
        <f aca="false">IFERROR(V4/Y4-1,"")</f>
        <v>0.0392115610287485</v>
      </c>
      <c r="K4" s="6" t="n">
        <f aca="false">IFERROR(AA4/AD4-1,"")</f>
        <v>0.848380857303301</v>
      </c>
      <c r="L4" s="3" t="str">
        <f aca="false">IF(OR(J4="",K4=""),"n/a (new)",IF(J4&gt;=0,IF(K4&gt;=0,"Long Buildup","Short Covering"),IF(K4&gt;=0,"Short Buildup","Long Unwinding")))</f>
        <v>Long Buildup</v>
      </c>
      <c r="M4" s="6" t="str">
        <f aca="false">IFERROR(V4/Z4-1,"")</f>
        <v/>
      </c>
      <c r="N4" s="6" t="str">
        <f aca="false">IFERROR(AA4/AE4-1,"")</f>
        <v/>
      </c>
      <c r="O4" s="3" t="str">
        <f aca="false">IF(OR(M4="",N4=""),"n/a (new)",IF(M4&gt;=0,IF(N4&gt;=0,"Long Buildup","Short Covering"),IF(N4&gt;=0,"Short Buildup","Long Unwinding")))</f>
        <v>n/a (new)</v>
      </c>
      <c r="P4" s="7" t="n">
        <f aca="false">IFERROR(AF4/AG4,"")</f>
        <v>1.00513307984791</v>
      </c>
      <c r="Q4" s="7" t="n">
        <f aca="false">IFERROR(AH4/AI4,"")</f>
        <v>1.25992647058824</v>
      </c>
      <c r="R4" s="8" t="n">
        <v>0.000986193293885495</v>
      </c>
      <c r="S4" s="8" t="n">
        <v>0.0502970564407237</v>
      </c>
      <c r="T4" s="5" t="s">
        <v>36</v>
      </c>
      <c r="V4" s="9" t="n">
        <v>2222.78</v>
      </c>
      <c r="W4" s="9" t="n">
        <v>2199.91</v>
      </c>
      <c r="X4" s="9" t="n">
        <v>2159.7</v>
      </c>
      <c r="Y4" s="9" t="n">
        <v>2138.91</v>
      </c>
      <c r="Z4" s="9"/>
      <c r="AA4" s="10" t="n">
        <v>7406000</v>
      </c>
      <c r="AB4" s="10" t="n">
        <v>7492250</v>
      </c>
      <c r="AC4" s="10" t="n">
        <v>5311000</v>
      </c>
      <c r="AD4" s="10" t="n">
        <v>4006750</v>
      </c>
      <c r="AE4" s="10"/>
      <c r="AF4" s="10" t="n">
        <v>1321750</v>
      </c>
      <c r="AG4" s="10" t="n">
        <v>1315000</v>
      </c>
      <c r="AH4" s="10" t="n">
        <v>856750</v>
      </c>
      <c r="AI4" s="10" t="n">
        <v>680000</v>
      </c>
    </row>
    <row r="5" customFormat="false" ht="15" hidden="false" customHeight="false" outlineLevel="0" collapsed="false">
      <c r="A5" s="3" t="n">
        <v>2</v>
      </c>
      <c r="B5" s="4" t="s">
        <v>37</v>
      </c>
      <c r="C5" s="5" t="n">
        <v>16.26</v>
      </c>
      <c r="D5" s="6" t="n">
        <f aca="false">IFERROR(V5/W5-1,"")</f>
        <v>0.00472553437002032</v>
      </c>
      <c r="E5" s="6" t="n">
        <f aca="false">IFERROR(AA5/AB5-1,"")</f>
        <v>0.0248378056739222</v>
      </c>
      <c r="F5" s="3" t="str">
        <f aca="false">IF(OR(D5="",E5=""),"n/a (new)",IF(D5&gt;=0,IF(E5&gt;=0,"Long Buildup","Short Covering"),IF(E5&gt;=0,"Short Buildup","Long Unwinding")))</f>
        <v>Long Buildup</v>
      </c>
      <c r="G5" s="6" t="n">
        <f aca="false">IFERROR(V5/X5-1,"")</f>
        <v>0.0650629077353215</v>
      </c>
      <c r="H5" s="6" t="n">
        <f aca="false">IFERROR(AA5/AC5-1,"")</f>
        <v>0.0646885219749542</v>
      </c>
      <c r="I5" s="3" t="str">
        <f aca="false">IF(OR(G5="",H5=""),"n/a (new)",IF(G5&gt;=0,IF(H5&gt;=0,"Long Buildup","Short Covering"),IF(H5&gt;=0,"Short Buildup","Long Unwinding")))</f>
        <v>Long Buildup</v>
      </c>
      <c r="J5" s="6" t="n">
        <f aca="false">IFERROR(V5/Y5-1,"")</f>
        <v>0.0660564365671641</v>
      </c>
      <c r="K5" s="6" t="n">
        <f aca="false">IFERROR(AA5/AD5-1,"")</f>
        <v>0.165866014499083</v>
      </c>
      <c r="L5" s="3" t="str">
        <f aca="false">IF(OR(J5="",K5=""),"n/a (new)",IF(J5&gt;=0,IF(K5&gt;=0,"Long Buildup","Short Covering"),IF(K5&gt;=0,"Short Buildup","Long Unwinding")))</f>
        <v>Long Buildup</v>
      </c>
      <c r="M5" s="6" t="n">
        <f aca="false">IFERROR(V5/Z5-1,"")</f>
        <v>0.027247191011236</v>
      </c>
      <c r="N5" s="6" t="n">
        <f aca="false">IFERROR(AA5/AE5-1,"")</f>
        <v>0.164340544312631</v>
      </c>
      <c r="O5" s="3" t="str">
        <f aca="false">IF(OR(M5="",N5=""),"n/a (new)",IF(M5&gt;=0,IF(N5&gt;=0,"Long Buildup","Short Covering"),IF(N5&gt;=0,"Short Buildup","Long Unwinding")))</f>
        <v>Long Buildup</v>
      </c>
      <c r="P5" s="7" t="n">
        <f aca="false">IFERROR(AF5/AG5,"")</f>
        <v>0.95419264537473</v>
      </c>
      <c r="Q5" s="7" t="n">
        <f aca="false">IFERROR(AH5/AI5,"")</f>
        <v>0.940658155008092</v>
      </c>
      <c r="R5" s="8" t="n">
        <v>-0.0166803840877915</v>
      </c>
      <c r="S5" s="8" t="n">
        <v>0.0679502547198083</v>
      </c>
      <c r="T5" s="5" t="s">
        <v>38</v>
      </c>
      <c r="V5" s="9" t="n">
        <v>182.85</v>
      </c>
      <c r="W5" s="9" t="n">
        <v>181.99</v>
      </c>
      <c r="X5" s="9" t="n">
        <v>171.68</v>
      </c>
      <c r="Y5" s="9" t="n">
        <v>171.52</v>
      </c>
      <c r="Z5" s="9" t="n">
        <v>178</v>
      </c>
      <c r="AA5" s="10" t="n">
        <v>118129800</v>
      </c>
      <c r="AB5" s="10" t="n">
        <v>115266825</v>
      </c>
      <c r="AC5" s="10" t="n">
        <v>110952450</v>
      </c>
      <c r="AD5" s="10" t="n">
        <v>101323650</v>
      </c>
      <c r="AE5" s="10" t="n">
        <v>101456400</v>
      </c>
      <c r="AF5" s="10" t="n">
        <v>33183075</v>
      </c>
      <c r="AG5" s="10" t="n">
        <v>34776075</v>
      </c>
      <c r="AH5" s="10" t="n">
        <v>23147175</v>
      </c>
      <c r="AI5" s="10" t="n">
        <v>24607425</v>
      </c>
    </row>
    <row r="6" customFormat="false" ht="15" hidden="false" customHeight="false" outlineLevel="0" collapsed="false">
      <c r="A6" s="3" t="n">
        <v>3</v>
      </c>
      <c r="B6" s="4" t="s">
        <v>39</v>
      </c>
      <c r="C6" s="5" t="n">
        <v>15.95</v>
      </c>
      <c r="D6" s="6" t="n">
        <f aca="false">IFERROR(V6/W6-1,"")</f>
        <v>0.0110174418604652</v>
      </c>
      <c r="E6" s="6" t="n">
        <f aca="false">IFERROR(AA6/AB6-1,"")</f>
        <v>0.0429340374752449</v>
      </c>
      <c r="F6" s="3" t="str">
        <f aca="false">IF(OR(D6="",E6=""),"n/a (new)",IF(D6&gt;=0,IF(E6&gt;=0,"Long Buildup","Short Covering"),IF(E6&gt;=0,"Short Buildup","Long Unwinding")))</f>
        <v>Long Buildup</v>
      </c>
      <c r="G6" s="6" t="n">
        <f aca="false">IFERROR(V6/X6-1,"")</f>
        <v>0.0289644970414202</v>
      </c>
      <c r="H6" s="6" t="n">
        <f aca="false">IFERROR(AA6/AC6-1,"")</f>
        <v>0.117346244865762</v>
      </c>
      <c r="I6" s="3" t="str">
        <f aca="false">IF(OR(G6="",H6=""),"n/a (new)",IF(G6&gt;=0,IF(H6&gt;=0,"Long Buildup","Short Covering"),IF(H6&gt;=0,"Short Buildup","Long Unwinding")))</f>
        <v>Long Buildup</v>
      </c>
      <c r="J6" s="6" t="n">
        <f aca="false">IFERROR(V6/Y6-1,"")</f>
        <v>0.0834579439252337</v>
      </c>
      <c r="K6" s="6" t="n">
        <f aca="false">IFERROR(AA6/AD6-1,"")</f>
        <v>0.0966734301580521</v>
      </c>
      <c r="L6" s="3" t="str">
        <f aca="false">IF(OR(J6="",K6=""),"n/a (new)",IF(J6&gt;=0,IF(K6&gt;=0,"Long Buildup","Short Covering"),IF(K6&gt;=0,"Short Buildup","Long Unwinding")))</f>
        <v>Long Buildup</v>
      </c>
      <c r="M6" s="6" t="n">
        <f aca="false">IFERROR(V6/Z6-1,"")</f>
        <v>0.0635779816513762</v>
      </c>
      <c r="N6" s="6" t="n">
        <f aca="false">IFERROR(AA6/AE6-1,"")</f>
        <v>0.108391797085807</v>
      </c>
      <c r="O6" s="3" t="str">
        <f aca="false">IF(OR(M6="",N6=""),"n/a (new)",IF(M6&gt;=0,IF(N6&gt;=0,"Long Buildup","Short Covering"),IF(N6&gt;=0,"Short Buildup","Long Unwinding")))</f>
        <v>Long Buildup</v>
      </c>
      <c r="P6" s="7" t="n">
        <f aca="false">IFERROR(AF6/AG6,"")</f>
        <v>0.989510236562251</v>
      </c>
      <c r="Q6" s="7" t="n">
        <f aca="false">IFERROR(AH6/AI6,"")</f>
        <v>0.888122476446837</v>
      </c>
      <c r="R6" s="8" t="n">
        <v>-0.00244639516477185</v>
      </c>
      <c r="S6" s="8" t="n">
        <v>0.0975241619397718</v>
      </c>
      <c r="T6" s="5" t="s">
        <v>38</v>
      </c>
      <c r="V6" s="9" t="n">
        <v>347.79</v>
      </c>
      <c r="W6" s="9" t="n">
        <v>344</v>
      </c>
      <c r="X6" s="9" t="n">
        <v>338</v>
      </c>
      <c r="Y6" s="9" t="n">
        <v>321</v>
      </c>
      <c r="Z6" s="9" t="n">
        <v>327</v>
      </c>
      <c r="AA6" s="10" t="n">
        <v>102692500</v>
      </c>
      <c r="AB6" s="10" t="n">
        <v>98465000</v>
      </c>
      <c r="AC6" s="10" t="n">
        <v>91907500</v>
      </c>
      <c r="AD6" s="10" t="n">
        <v>93640000</v>
      </c>
      <c r="AE6" s="10" t="n">
        <v>92650000</v>
      </c>
      <c r="AF6" s="10" t="n">
        <v>34195000</v>
      </c>
      <c r="AG6" s="10" t="n">
        <v>34557500</v>
      </c>
      <c r="AH6" s="10" t="n">
        <v>13197500</v>
      </c>
      <c r="AI6" s="10" t="n">
        <v>14860000</v>
      </c>
    </row>
    <row r="7" customFormat="false" ht="15" hidden="false" customHeight="false" outlineLevel="0" collapsed="false">
      <c r="A7" s="3" t="n">
        <v>4</v>
      </c>
      <c r="B7" s="4" t="s">
        <v>40</v>
      </c>
      <c r="C7" s="5" t="n">
        <v>14.67</v>
      </c>
      <c r="D7" s="6" t="n">
        <f aca="false">IFERROR(V7/W7-1,"")</f>
        <v>0.00660816240219919</v>
      </c>
      <c r="E7" s="6" t="n">
        <f aca="false">IFERROR(AA7/AB7-1,"")</f>
        <v>-0.0328476417728588</v>
      </c>
      <c r="F7" s="3" t="str">
        <f aca="false">IF(OR(D7="",E7=""),"n/a (new)",IF(D7&gt;=0,IF(E7&gt;=0,"Long Buildup","Short Covering"),IF(E7&gt;=0,"Short Buildup","Long Unwinding")))</f>
        <v>Short Covering</v>
      </c>
      <c r="G7" s="6" t="n">
        <f aca="false">IFERROR(V7/X7-1,"")</f>
        <v>0.0325921908893709</v>
      </c>
      <c r="H7" s="6" t="n">
        <f aca="false">IFERROR(AA7/AC7-1,"")</f>
        <v>0.0179816709861864</v>
      </c>
      <c r="I7" s="3" t="str">
        <f aca="false">IF(OR(G7="",H7=""),"n/a (new)",IF(G7&gt;=0,IF(H7&gt;=0,"Long Buildup","Short Covering"),IF(H7&gt;=0,"Short Buildup","Long Unwinding")))</f>
        <v>Long Buildup</v>
      </c>
      <c r="J7" s="6" t="n">
        <f aca="false">IFERROR(V7/Y7-1,"")</f>
        <v>0.202235130698321</v>
      </c>
      <c r="K7" s="6" t="n">
        <f aca="false">IFERROR(AA7/AD7-1,"")</f>
        <v>0.079656550199779</v>
      </c>
      <c r="L7" s="3" t="str">
        <f aca="false">IF(OR(J7="",K7=""),"n/a (new)",IF(J7&gt;=0,IF(K7&gt;=0,"Long Buildup","Short Covering"),IF(K7&gt;=0,"Short Buildup","Long Unwinding")))</f>
        <v>Long Buildup</v>
      </c>
      <c r="M7" s="6" t="n">
        <f aca="false">IFERROR(V7/Z7-1,"")</f>
        <v>0.147117296222664</v>
      </c>
      <c r="N7" s="6" t="n">
        <f aca="false">IFERROR(AA7/AE7-1,"")</f>
        <v>-0.107644744238336</v>
      </c>
      <c r="O7" s="3" t="str">
        <f aca="false">IF(OR(M7="",N7=""),"n/a (new)",IF(M7&gt;=0,IF(N7&gt;=0,"Long Buildup","Short Covering"),IF(N7&gt;=0,"Short Buildup","Long Unwinding")))</f>
        <v>Short Covering</v>
      </c>
      <c r="P7" s="7" t="n">
        <f aca="false">IFERROR(AF7/AG7,"")</f>
        <v>1.12492542656008</v>
      </c>
      <c r="Q7" s="7" t="n">
        <f aca="false">IFERROR(AH7/AI7,"")</f>
        <v>0.861206642429007</v>
      </c>
      <c r="R7" s="8" t="n">
        <v>0.0111385488362317</v>
      </c>
      <c r="S7" s="8" t="n">
        <v>0.0502493438320211</v>
      </c>
      <c r="T7" s="5" t="s">
        <v>36</v>
      </c>
      <c r="V7" s="9" t="n">
        <v>190.41</v>
      </c>
      <c r="W7" s="9" t="n">
        <v>189.16</v>
      </c>
      <c r="X7" s="9" t="n">
        <v>184.4</v>
      </c>
      <c r="Y7" s="9" t="n">
        <v>158.38</v>
      </c>
      <c r="Z7" s="9" t="n">
        <v>165.99</v>
      </c>
      <c r="AA7" s="10" t="n">
        <v>228600000</v>
      </c>
      <c r="AB7" s="10" t="n">
        <v>236364000</v>
      </c>
      <c r="AC7" s="10" t="n">
        <v>224562000</v>
      </c>
      <c r="AD7" s="10" t="n">
        <v>211734000</v>
      </c>
      <c r="AE7" s="10" t="n">
        <v>256176000</v>
      </c>
      <c r="AF7" s="10" t="n">
        <v>113136000</v>
      </c>
      <c r="AG7" s="10" t="n">
        <v>100572000</v>
      </c>
      <c r="AH7" s="10" t="n">
        <v>52587000</v>
      </c>
      <c r="AI7" s="10" t="n">
        <v>61062000</v>
      </c>
    </row>
    <row r="8" customFormat="false" ht="15" hidden="false" customHeight="false" outlineLevel="0" collapsed="false">
      <c r="A8" s="3" t="n">
        <v>5</v>
      </c>
      <c r="B8" s="4" t="s">
        <v>41</v>
      </c>
      <c r="C8" s="5" t="n">
        <v>13.76</v>
      </c>
      <c r="D8" s="6" t="n">
        <f aca="false">IFERROR(V8/W8-1,"")</f>
        <v>0</v>
      </c>
      <c r="E8" s="6" t="n">
        <f aca="false">IFERROR(AA8/AB8-1,"")</f>
        <v>0.0273230410719487</v>
      </c>
      <c r="F8" s="3" t="str">
        <f aca="false">IF(OR(D8="",E8=""),"n/a (new)",IF(D8&gt;=0,IF(E8&gt;=0,"Long Buildup","Short Covering"),IF(E8&gt;=0,"Short Buildup","Long Unwinding")))</f>
        <v>Long Buildup</v>
      </c>
      <c r="G8" s="6" t="n">
        <f aca="false">IFERROR(V8/X8-1,"")</f>
        <v>0.0533104041272572</v>
      </c>
      <c r="H8" s="6" t="n">
        <f aca="false">IFERROR(AA8/AC8-1,"")</f>
        <v>0.0357709251101321</v>
      </c>
      <c r="I8" s="3" t="str">
        <f aca="false">IF(OR(G8="",H8=""),"n/a (new)",IF(G8&gt;=0,IF(H8&gt;=0,"Long Buildup","Short Covering"),IF(H8&gt;=0,"Short Buildup","Long Unwinding")))</f>
        <v>Long Buildup</v>
      </c>
      <c r="J8" s="6" t="n">
        <f aca="false">IFERROR(V8/Y8-1,"")</f>
        <v>0.0625379477838495</v>
      </c>
      <c r="K8" s="6" t="n">
        <f aca="false">IFERROR(AA8/AD8-1,"")</f>
        <v>0.0550436759602728</v>
      </c>
      <c r="L8" s="3" t="str">
        <f aca="false">IF(OR(J8="",K8=""),"n/a (new)",IF(J8&gt;=0,IF(K8&gt;=0,"Long Buildup","Short Covering"),IF(K8&gt;=0,"Short Buildup","Long Unwinding")))</f>
        <v>Long Buildup</v>
      </c>
      <c r="M8" s="6" t="n">
        <f aca="false">IFERROR(V8/Z8-1,"")</f>
        <v>0.0479041916167664</v>
      </c>
      <c r="N8" s="6" t="n">
        <f aca="false">IFERROR(AA8/AE8-1,"")</f>
        <v>0.0733132475120972</v>
      </c>
      <c r="O8" s="3" t="str">
        <f aca="false">IF(OR(M8="",N8=""),"n/a (new)",IF(M8&gt;=0,IF(N8&gt;=0,"Long Buildup","Short Covering"),IF(N8&gt;=0,"Short Buildup","Long Unwinding")))</f>
        <v>Long Buildup</v>
      </c>
      <c r="P8" s="7" t="n">
        <f aca="false">IFERROR(AF8/AG8,"")</f>
        <v>0.908013992685642</v>
      </c>
      <c r="Q8" s="7" t="n">
        <f aca="false">IFERROR(AH8/AI8,"")</f>
        <v>0.905131911817853</v>
      </c>
      <c r="R8" s="8" t="n">
        <v>-0.0190148348496025</v>
      </c>
      <c r="S8" s="8" t="n">
        <v>0.11103549960304</v>
      </c>
      <c r="T8" s="5" t="s">
        <v>38</v>
      </c>
      <c r="V8" s="9" t="n">
        <v>122.5</v>
      </c>
      <c r="W8" s="9" t="n">
        <v>122.5</v>
      </c>
      <c r="X8" s="9" t="n">
        <v>116.3</v>
      </c>
      <c r="Y8" s="9" t="n">
        <v>115.29</v>
      </c>
      <c r="Z8" s="9" t="n">
        <v>116.9</v>
      </c>
      <c r="AA8" s="10" t="n">
        <v>282144000</v>
      </c>
      <c r="AB8" s="10" t="n">
        <v>274640000</v>
      </c>
      <c r="AC8" s="10" t="n">
        <v>272400000</v>
      </c>
      <c r="AD8" s="10" t="n">
        <v>267424000</v>
      </c>
      <c r="AE8" s="10" t="n">
        <v>262872000</v>
      </c>
      <c r="AF8" s="10" t="n">
        <v>91368000</v>
      </c>
      <c r="AG8" s="10" t="n">
        <v>100624000</v>
      </c>
      <c r="AH8" s="10" t="n">
        <v>40072000</v>
      </c>
      <c r="AI8" s="10" t="n">
        <v>44272000</v>
      </c>
    </row>
    <row r="9" customFormat="false" ht="15" hidden="false" customHeight="false" outlineLevel="0" collapsed="false">
      <c r="A9" s="3" t="n">
        <v>6</v>
      </c>
      <c r="B9" s="4" t="s">
        <v>42</v>
      </c>
      <c r="C9" s="5" t="n">
        <v>12.88</v>
      </c>
      <c r="D9" s="6" t="n">
        <f aca="false">IFERROR(V9/W9-1,"")</f>
        <v>-0.0032539379735107</v>
      </c>
      <c r="E9" s="6" t="n">
        <f aca="false">IFERROR(AA9/AB9-1,"")</f>
        <v>0.0186181349653729</v>
      </c>
      <c r="F9" s="3" t="str">
        <f aca="false">IF(OR(D9="",E9=""),"n/a (new)",IF(D9&gt;=0,IF(E9&gt;=0,"Long Buildup","Short Covering"),IF(E9&gt;=0,"Short Buildup","Long Unwinding")))</f>
        <v>Short Buildup</v>
      </c>
      <c r="G9" s="6" t="n">
        <f aca="false">IFERROR(V9/X9-1,"")</f>
        <v>0.0216482865730343</v>
      </c>
      <c r="H9" s="6" t="n">
        <f aca="false">IFERROR(AA9/AC9-1,"")</f>
        <v>0.00585260345430827</v>
      </c>
      <c r="I9" s="3" t="str">
        <f aca="false">IF(OR(G9="",H9=""),"n/a (new)",IF(G9&gt;=0,IF(H9&gt;=0,"Long Buildup","Short Covering"),IF(H9&gt;=0,"Short Buildup","Long Unwinding")))</f>
        <v>Long Buildup</v>
      </c>
      <c r="J9" s="6" t="n">
        <f aca="false">IFERROR(V9/Y9-1,"")</f>
        <v>0.22224969923807</v>
      </c>
      <c r="K9" s="6" t="n">
        <f aca="false">IFERROR(AA9/AD9-1,"")</f>
        <v>0.082090062961949</v>
      </c>
      <c r="L9" s="3" t="str">
        <f aca="false">IF(OR(J9="",K9=""),"n/a (new)",IF(J9&gt;=0,IF(K9&gt;=0,"Long Buildup","Short Covering"),IF(K9&gt;=0,"Short Buildup","Long Unwinding")))</f>
        <v>Long Buildup</v>
      </c>
      <c r="M9" s="6" t="n">
        <f aca="false">IFERROR(V9/Z9-1,"")</f>
        <v>0.178609177623099</v>
      </c>
      <c r="N9" s="6" t="n">
        <f aca="false">IFERROR(AA9/AE9-1,"")</f>
        <v>-0.133141447368421</v>
      </c>
      <c r="O9" s="3" t="str">
        <f aca="false">IF(OR(M9="",N9=""),"n/a (new)",IF(M9&gt;=0,IF(N9&gt;=0,"Long Buildup","Short Covering"),IF(N9&gt;=0,"Short Buildup","Long Unwinding")))</f>
        <v>Short Covering</v>
      </c>
      <c r="P9" s="7" t="n">
        <f aca="false">IFERROR(AF9/AG9,"")</f>
        <v>1.14647839401157</v>
      </c>
      <c r="Q9" s="7" t="n">
        <f aca="false">IFERROR(AH9/AI9,"")</f>
        <v>0.646155278346677</v>
      </c>
      <c r="R9" s="8" t="n">
        <v>0.00944345105051414</v>
      </c>
      <c r="S9" s="8" t="n">
        <v>0.0766530689687885</v>
      </c>
      <c r="T9" s="5" t="s">
        <v>36</v>
      </c>
      <c r="V9" s="9" t="n">
        <v>1828.73</v>
      </c>
      <c r="W9" s="9" t="n">
        <v>1834.7</v>
      </c>
      <c r="X9" s="9" t="n">
        <v>1789.98</v>
      </c>
      <c r="Y9" s="9" t="n">
        <v>1496.2</v>
      </c>
      <c r="Z9" s="9" t="n">
        <v>1551.6</v>
      </c>
      <c r="AA9" s="10" t="n">
        <v>18973800</v>
      </c>
      <c r="AB9" s="10" t="n">
        <v>18627000</v>
      </c>
      <c r="AC9" s="10" t="n">
        <v>18863400</v>
      </c>
      <c r="AD9" s="10" t="n">
        <v>17534400</v>
      </c>
      <c r="AE9" s="10" t="n">
        <v>21888000</v>
      </c>
      <c r="AF9" s="10" t="n">
        <v>16173600</v>
      </c>
      <c r="AG9" s="10" t="n">
        <v>14107200</v>
      </c>
      <c r="AH9" s="10" t="n">
        <v>4164600</v>
      </c>
      <c r="AI9" s="10" t="n">
        <v>6445200</v>
      </c>
    </row>
    <row r="10" customFormat="false" ht="15" hidden="false" customHeight="false" outlineLevel="0" collapsed="false">
      <c r="A10" s="3" t="n">
        <v>7</v>
      </c>
      <c r="B10" s="4" t="s">
        <v>43</v>
      </c>
      <c r="C10" s="5" t="n">
        <v>9.74</v>
      </c>
      <c r="D10" s="6" t="n">
        <f aca="false">IFERROR(V10/W10-1,"")</f>
        <v>0.0289974450466342</v>
      </c>
      <c r="E10" s="6" t="n">
        <f aca="false">IFERROR(AA10/AB10-1,"")</f>
        <v>-0.132218844984802</v>
      </c>
      <c r="F10" s="3" t="str">
        <f aca="false">IF(OR(D10="",E10=""),"n/a (new)",IF(D10&gt;=0,IF(E10&gt;=0,"Long Buildup","Short Covering"),IF(E10&gt;=0,"Short Buildup","Long Unwinding")))</f>
        <v>Short Covering</v>
      </c>
      <c r="G10" s="6" t="n">
        <f aca="false">IFERROR(V10/X10-1,"")</f>
        <v>0.00849716686685387</v>
      </c>
      <c r="H10" s="6" t="n">
        <f aca="false">IFERROR(AA10/AC10-1,"")</f>
        <v>-0.191504424778761</v>
      </c>
      <c r="I10" s="3" t="str">
        <f aca="false">IF(OR(G10="",H10=""),"n/a (new)",IF(G10&gt;=0,IF(H10&gt;=0,"Long Buildup","Short Covering"),IF(H10&gt;=0,"Short Buildup","Long Unwinding")))</f>
        <v>Short Covering</v>
      </c>
      <c r="J10" s="6" t="n">
        <f aca="false">IFERROR(V10/Y10-1,"")</f>
        <v>0.0653773584905661</v>
      </c>
      <c r="K10" s="6" t="n">
        <f aca="false">IFERROR(AA10/AD10-1,"")</f>
        <v>-0.255783642880417</v>
      </c>
      <c r="L10" s="3" t="str">
        <f aca="false">IF(OR(J10="",K10=""),"n/a (new)",IF(J10&gt;=0,IF(K10&gt;=0,"Long Buildup","Short Covering"),IF(K10&gt;=0,"Short Buildup","Long Unwinding")))</f>
        <v>Short Covering</v>
      </c>
      <c r="M10" s="6" t="n">
        <f aca="false">IFERROR(V10/Z10-1,"")</f>
        <v>0.00965578900312925</v>
      </c>
      <c r="N10" s="6" t="n">
        <f aca="false">IFERROR(AA10/AE10-1,"")</f>
        <v>-0.334110787172012</v>
      </c>
      <c r="O10" s="3" t="str">
        <f aca="false">IF(OR(M10="",N10=""),"n/a (new)",IF(M10&gt;=0,IF(N10&gt;=0,"Long Buildup","Short Covering"),IF(N10&gt;=0,"Short Buildup","Long Unwinding")))</f>
        <v>Short Covering</v>
      </c>
      <c r="P10" s="7" t="n">
        <f aca="false">IFERROR(AF10/AG10,"")</f>
        <v>0.671981776765376</v>
      </c>
      <c r="Q10" s="7" t="n">
        <f aca="false">IFERROR(AH10/AI10,"")</f>
        <v>0.854280510018215</v>
      </c>
      <c r="R10" s="8" t="n">
        <v>-0.0172749822820695</v>
      </c>
      <c r="S10" s="8" t="n">
        <v>-0.010507880910683</v>
      </c>
      <c r="T10" s="5" t="s">
        <v>44</v>
      </c>
      <c r="V10" s="9" t="n">
        <v>11293</v>
      </c>
      <c r="W10" s="9" t="n">
        <v>10974.76</v>
      </c>
      <c r="X10" s="9" t="n">
        <v>11197.85</v>
      </c>
      <c r="Y10" s="9" t="n">
        <v>10600</v>
      </c>
      <c r="Z10" s="9" t="n">
        <v>11185</v>
      </c>
      <c r="AA10" s="10" t="n">
        <v>171300</v>
      </c>
      <c r="AB10" s="10" t="n">
        <v>197400</v>
      </c>
      <c r="AC10" s="10" t="n">
        <v>211875</v>
      </c>
      <c r="AD10" s="10" t="n">
        <v>230175</v>
      </c>
      <c r="AE10" s="10" t="n">
        <v>257250</v>
      </c>
      <c r="AF10" s="10" t="n">
        <v>88500</v>
      </c>
      <c r="AG10" s="10" t="n">
        <v>131700</v>
      </c>
      <c r="AH10" s="10" t="n">
        <v>35175</v>
      </c>
      <c r="AI10" s="10" t="n">
        <v>41175</v>
      </c>
    </row>
    <row r="11" customFormat="false" ht="15" hidden="false" customHeight="false" outlineLevel="0" collapsed="false">
      <c r="A11" s="3" t="n">
        <v>8</v>
      </c>
      <c r="B11" s="4" t="s">
        <v>45</v>
      </c>
      <c r="C11" s="5" t="n">
        <v>8.5</v>
      </c>
      <c r="D11" s="6" t="n">
        <f aca="false">IFERROR(V11/W11-1,"")</f>
        <v>-0.00888126156620217</v>
      </c>
      <c r="E11" s="6" t="n">
        <f aca="false">IFERROR(AA11/AB11-1,"")</f>
        <v>-0.0432395942513013</v>
      </c>
      <c r="F11" s="3" t="str">
        <f aca="false">IF(OR(D11="",E11=""),"n/a (new)",IF(D11&gt;=0,IF(E11&gt;=0,"Long Buildup","Short Covering"),IF(E11&gt;=0,"Short Buildup","Long Unwinding")))</f>
        <v>Long Unwinding</v>
      </c>
      <c r="G11" s="6" t="n">
        <f aca="false">IFERROR(V11/X11-1,"")</f>
        <v>0.0168483486346469</v>
      </c>
      <c r="H11" s="6" t="n">
        <f aca="false">IFERROR(AA11/AC11-1,"")</f>
        <v>-0.00885200044167989</v>
      </c>
      <c r="I11" s="3" t="str">
        <f aca="false">IF(OR(G11="",H11=""),"n/a (new)",IF(G11&gt;=0,IF(H11&gt;=0,"Long Buildup","Short Covering"),IF(H11&gt;=0,"Short Buildup","Long Unwinding")))</f>
        <v>Short Covering</v>
      </c>
      <c r="J11" s="6" t="n">
        <f aca="false">IFERROR(V11/Y11-1,"")</f>
        <v>0.207362305995241</v>
      </c>
      <c r="K11" s="6" t="n">
        <f aca="false">IFERROR(AA11/AD11-1,"")</f>
        <v>-0.101537280939551</v>
      </c>
      <c r="L11" s="3" t="str">
        <f aca="false">IF(OR(J11="",K11=""),"n/a (new)",IF(J11&gt;=0,IF(K11&gt;=0,"Long Buildup","Short Covering"),IF(K11&gt;=0,"Short Buildup","Long Unwinding")))</f>
        <v>Short Covering</v>
      </c>
      <c r="M11" s="6" t="n">
        <f aca="false">IFERROR(V11/Z11-1,"")</f>
        <v>0.19071168307989</v>
      </c>
      <c r="N11" s="6" t="n">
        <f aca="false">IFERROR(AA11/AE11-1,"")</f>
        <v>-0.184367948387878</v>
      </c>
      <c r="O11" s="3" t="str">
        <f aca="false">IF(OR(M11="",N11=""),"n/a (new)",IF(M11&gt;=0,IF(N11&gt;=0,"Long Buildup","Short Covering"),IF(N11&gt;=0,"Short Buildup","Long Unwinding")))</f>
        <v>Short Covering</v>
      </c>
      <c r="P11" s="7" t="n">
        <f aca="false">IFERROR(AF11/AG11,"")</f>
        <v>1.19120428437755</v>
      </c>
      <c r="Q11" s="7" t="n">
        <f aca="false">IFERROR(AH11/AI11,"")</f>
        <v>0.602747063549757</v>
      </c>
      <c r="R11" s="8" t="n">
        <v>0.0206769918569376</v>
      </c>
      <c r="S11" s="8" t="n">
        <v>0.0850400133687357</v>
      </c>
      <c r="T11" s="5" t="s">
        <v>36</v>
      </c>
      <c r="V11" s="9" t="n">
        <v>2506.46</v>
      </c>
      <c r="W11" s="9" t="n">
        <v>2528.92</v>
      </c>
      <c r="X11" s="9" t="n">
        <v>2464.93</v>
      </c>
      <c r="Y11" s="9" t="n">
        <v>2075.98</v>
      </c>
      <c r="Z11" s="9" t="n">
        <v>2105.01</v>
      </c>
      <c r="AA11" s="10" t="n">
        <v>24235650</v>
      </c>
      <c r="AB11" s="10" t="n">
        <v>25330950</v>
      </c>
      <c r="AC11" s="10" t="n">
        <v>24452100</v>
      </c>
      <c r="AD11" s="10" t="n">
        <v>26974575</v>
      </c>
      <c r="AE11" s="10" t="n">
        <v>29713950</v>
      </c>
      <c r="AF11" s="10" t="n">
        <v>26924850</v>
      </c>
      <c r="AG11" s="10" t="n">
        <v>22603050</v>
      </c>
      <c r="AH11" s="10" t="n">
        <v>14178600</v>
      </c>
      <c r="AI11" s="10" t="n">
        <v>23523300</v>
      </c>
    </row>
    <row r="12" customFormat="false" ht="15" hidden="false" customHeight="false" outlineLevel="0" collapsed="false">
      <c r="A12" s="3" t="n">
        <v>9</v>
      </c>
      <c r="B12" s="4" t="s">
        <v>46</v>
      </c>
      <c r="C12" s="5" t="n">
        <v>8.23</v>
      </c>
      <c r="D12" s="6" t="n">
        <f aca="false">IFERROR(V12/W12-1,"")</f>
        <v>-0.00158688920564254</v>
      </c>
      <c r="E12" s="6" t="n">
        <f aca="false">IFERROR(AA12/AB12-1,"")</f>
        <v>-0.0262251837133216</v>
      </c>
      <c r="F12" s="3" t="str">
        <f aca="false">IF(OR(D12="",E12=""),"n/a (new)",IF(D12&gt;=0,IF(E12&gt;=0,"Long Buildup","Short Covering"),IF(E12&gt;=0,"Short Buildup","Long Unwinding")))</f>
        <v>Long Unwinding</v>
      </c>
      <c r="G12" s="6" t="n">
        <f aca="false">IFERROR(V12/X12-1,"")</f>
        <v>0.0303844983260628</v>
      </c>
      <c r="H12" s="6" t="n">
        <f aca="false">IFERROR(AA12/AC12-1,"")</f>
        <v>-0.0643690646653171</v>
      </c>
      <c r="I12" s="3" t="str">
        <f aca="false">IF(OR(G12="",H12=""),"n/a (new)",IF(G12&gt;=0,IF(H12&gt;=0,"Long Buildup","Short Covering"),IF(H12&gt;=0,"Short Buildup","Long Unwinding")))</f>
        <v>Short Covering</v>
      </c>
      <c r="J12" s="6" t="n">
        <f aca="false">IFERROR(V12/Y12-1,"")</f>
        <v>0.208049072665947</v>
      </c>
      <c r="K12" s="6" t="n">
        <f aca="false">IFERROR(AA12/AD12-1,"")</f>
        <v>-0.0888429420910067</v>
      </c>
      <c r="L12" s="3" t="str">
        <f aca="false">IF(OR(J12="",K12=""),"n/a (new)",IF(J12&gt;=0,IF(K12&gt;=0,"Long Buildup","Short Covering"),IF(K12&gt;=0,"Short Buildup","Long Unwinding")))</f>
        <v>Short Covering</v>
      </c>
      <c r="M12" s="6" t="n">
        <f aca="false">IFERROR(V12/Z12-1,"")</f>
        <v>0.119261649874055</v>
      </c>
      <c r="N12" s="6" t="n">
        <f aca="false">IFERROR(AA12/AE12-1,"")</f>
        <v>-0.145913461538462</v>
      </c>
      <c r="O12" s="3" t="str">
        <f aca="false">IF(OR(M12="",N12=""),"n/a (new)",IF(M12&gt;=0,IF(N12&gt;=0,"Long Buildup","Short Covering"),IF(N12&gt;=0,"Short Buildup","Long Unwinding")))</f>
        <v>Short Covering</v>
      </c>
      <c r="P12" s="7" t="n">
        <f aca="false">IFERROR(AF12/AG12,"")</f>
        <v>1.38039786511402</v>
      </c>
      <c r="Q12" s="7" t="n">
        <f aca="false">IFERROR(AH12/AI12,"")</f>
        <v>0.682040976374865</v>
      </c>
      <c r="R12" s="8" t="n">
        <v>0.0120132852801922</v>
      </c>
      <c r="S12" s="8" t="n">
        <v>0.063168449197861</v>
      </c>
      <c r="T12" s="5" t="s">
        <v>36</v>
      </c>
      <c r="V12" s="9" t="n">
        <v>1421.91</v>
      </c>
      <c r="W12" s="9" t="n">
        <v>1424.17</v>
      </c>
      <c r="X12" s="9" t="n">
        <v>1379.98</v>
      </c>
      <c r="Y12" s="9" t="n">
        <v>1177.03</v>
      </c>
      <c r="Z12" s="9" t="n">
        <v>1270.4</v>
      </c>
      <c r="AA12" s="10" t="n">
        <v>22739200</v>
      </c>
      <c r="AB12" s="10" t="n">
        <v>23351600</v>
      </c>
      <c r="AC12" s="10" t="n">
        <v>24303600</v>
      </c>
      <c r="AD12" s="10" t="n">
        <v>24956400</v>
      </c>
      <c r="AE12" s="10" t="n">
        <v>26624000</v>
      </c>
      <c r="AF12" s="10" t="n">
        <v>17070000</v>
      </c>
      <c r="AG12" s="10" t="n">
        <v>12366000</v>
      </c>
      <c r="AH12" s="10" t="n">
        <v>5566000</v>
      </c>
      <c r="AI12" s="10" t="n">
        <v>8160800</v>
      </c>
    </row>
    <row r="13" customFormat="false" ht="15" hidden="false" customHeight="false" outlineLevel="0" collapsed="false">
      <c r="A13" s="3" t="n">
        <v>10</v>
      </c>
      <c r="B13" s="4" t="s">
        <v>47</v>
      </c>
      <c r="C13" s="5" t="n">
        <v>7.94</v>
      </c>
      <c r="D13" s="6" t="n">
        <f aca="false">IFERROR(V13/W13-1,"")</f>
        <v>0.0158417613890629</v>
      </c>
      <c r="E13" s="6" t="n">
        <f aca="false">IFERROR(AA13/AB13-1,"")</f>
        <v>-0.0871372075876399</v>
      </c>
      <c r="F13" s="3" t="str">
        <f aca="false">IF(OR(D13="",E13=""),"n/a (new)",IF(D13&gt;=0,IF(E13&gt;=0,"Long Buildup","Short Covering"),IF(E13&gt;=0,"Short Buildup","Long Unwinding")))</f>
        <v>Short Covering</v>
      </c>
      <c r="G13" s="6" t="n">
        <f aca="false">IFERROR(V13/X13-1,"")</f>
        <v>0.0106856634016028</v>
      </c>
      <c r="H13" s="6" t="n">
        <f aca="false">IFERROR(AA13/AC13-1,"")</f>
        <v>0.0383501067398597</v>
      </c>
      <c r="I13" s="3" t="str">
        <f aca="false">IF(OR(G13="",H13=""),"n/a (new)",IF(G13&gt;=0,IF(H13&gt;=0,"Long Buildup","Short Covering"),IF(H13&gt;=0,"Short Buildup","Long Unwinding")))</f>
        <v>Long Buildup</v>
      </c>
      <c r="J13" s="6" t="n">
        <f aca="false">IFERROR(V13/Y13-1,"")</f>
        <v>0.02062838336061</v>
      </c>
      <c r="K13" s="6" t="n">
        <f aca="false">IFERROR(AA13/AD13-1,"")</f>
        <v>0.210470180428406</v>
      </c>
      <c r="L13" s="3" t="str">
        <f aca="false">IF(OR(J13="",K13=""),"n/a (new)",IF(J13&gt;=0,IF(K13&gt;=0,"Long Buildup","Short Covering"),IF(K13&gt;=0,"Short Buildup","Long Unwinding")))</f>
        <v>Long Buildup</v>
      </c>
      <c r="M13" s="6" t="n">
        <f aca="false">IFERROR(V13/Z13-1,"")</f>
        <v>-0.0234290975108198</v>
      </c>
      <c r="N13" s="6" t="n">
        <f aca="false">IFERROR(AA13/AE13-1,"")</f>
        <v>-0.00801223687085728</v>
      </c>
      <c r="O13" s="3" t="str">
        <f aca="false">IF(OR(M13="",N13=""),"n/a (new)",IF(M13&gt;=0,IF(N13&gt;=0,"Long Buildup","Short Covering"),IF(N13&gt;=0,"Short Buildup","Long Unwinding")))</f>
        <v>Long Unwinding</v>
      </c>
      <c r="P13" s="7" t="n">
        <f aca="false">IFERROR(AF13/AG13,"")</f>
        <v>0.560373381511593</v>
      </c>
      <c r="Q13" s="7" t="n">
        <f aca="false">IFERROR(AH13/AI13,"")</f>
        <v>0.479359482885265</v>
      </c>
      <c r="R13" s="8" t="n">
        <v>-0.0115195216320789</v>
      </c>
      <c r="S13" s="8" t="n">
        <v>0.0122622806373449</v>
      </c>
      <c r="T13" s="5" t="s">
        <v>38</v>
      </c>
      <c r="V13" s="9" t="n">
        <v>1135</v>
      </c>
      <c r="W13" s="9" t="n">
        <v>1117.3</v>
      </c>
      <c r="X13" s="9" t="n">
        <v>1123</v>
      </c>
      <c r="Y13" s="9" t="n">
        <v>1112.06</v>
      </c>
      <c r="Z13" s="9" t="n">
        <v>1162.23</v>
      </c>
      <c r="AA13" s="10" t="n">
        <v>12257100</v>
      </c>
      <c r="AB13" s="10" t="n">
        <v>13427100</v>
      </c>
      <c r="AC13" s="10" t="n">
        <v>11804400</v>
      </c>
      <c r="AD13" s="10" t="n">
        <v>10125900</v>
      </c>
      <c r="AE13" s="10" t="n">
        <v>12356100</v>
      </c>
      <c r="AF13" s="10" t="n">
        <v>3349800</v>
      </c>
      <c r="AG13" s="10" t="n">
        <v>5977800</v>
      </c>
      <c r="AH13" s="10" t="n">
        <v>2936700</v>
      </c>
      <c r="AI13" s="10" t="n">
        <v>6126300</v>
      </c>
    </row>
    <row r="14" customFormat="false" ht="15" hidden="false" customHeight="false" outlineLevel="0" collapsed="false">
      <c r="A14" s="3" t="n">
        <v>11</v>
      </c>
      <c r="B14" s="4" t="s">
        <v>48</v>
      </c>
      <c r="C14" s="5" t="n">
        <v>7.84</v>
      </c>
      <c r="D14" s="6" t="n">
        <f aca="false">IFERROR(V14/W14-1,"")</f>
        <v>0.0389243027888446</v>
      </c>
      <c r="E14" s="6" t="n">
        <f aca="false">IFERROR(AA14/AB14-1,"")</f>
        <v>-0.118522776260957</v>
      </c>
      <c r="F14" s="3" t="str">
        <f aca="false">IF(OR(D14="",E14=""),"n/a (new)",IF(D14&gt;=0,IF(E14&gt;=0,"Long Buildup","Short Covering"),IF(E14&gt;=0,"Short Buildup","Long Unwinding")))</f>
        <v>Short Covering</v>
      </c>
      <c r="G14" s="6" t="n">
        <f aca="false">IFERROR(V14/X14-1,"")</f>
        <v>0.0132236756896773</v>
      </c>
      <c r="H14" s="6" t="n">
        <f aca="false">IFERROR(AA14/AC14-1,"")</f>
        <v>-0.104365600817638</v>
      </c>
      <c r="I14" s="3" t="str">
        <f aca="false">IF(OR(G14="",H14=""),"n/a (new)",IF(G14&gt;=0,IF(H14&gt;=0,"Long Buildup","Short Covering"),IF(H14&gt;=0,"Short Buildup","Long Unwinding")))</f>
        <v>Short Covering</v>
      </c>
      <c r="J14" s="6" t="n">
        <f aca="false">IFERROR(V14/Y14-1,"")</f>
        <v>0.0992903815077637</v>
      </c>
      <c r="K14" s="6" t="n">
        <f aca="false">IFERROR(AA14/AD14-1,"")</f>
        <v>-0.129555000567601</v>
      </c>
      <c r="L14" s="3" t="str">
        <f aca="false">IF(OR(J14="",K14=""),"n/a (new)",IF(J14&gt;=0,IF(K14&gt;=0,"Long Buildup","Short Covering"),IF(K14&gt;=0,"Short Buildup","Long Unwinding")))</f>
        <v>Short Covering</v>
      </c>
      <c r="M14" s="6" t="n">
        <f aca="false">IFERROR(V14/Z14-1,"")</f>
        <v>0.062560271646859</v>
      </c>
      <c r="N14" s="6" t="n">
        <f aca="false">IFERROR(AA14/AE14-1,"")</f>
        <v>-0.019814004026717</v>
      </c>
      <c r="O14" s="3" t="str">
        <f aca="false">IF(OR(M14="",N14=""),"n/a (new)",IF(M14&gt;=0,IF(N14&gt;=0,"Long Buildup","Short Covering"),IF(N14&gt;=0,"Short Buildup","Long Unwinding")))</f>
        <v>Short Covering</v>
      </c>
      <c r="P14" s="7" t="n">
        <f aca="false">IFERROR(AF14/AG14,"")</f>
        <v>0.805933250927071</v>
      </c>
      <c r="Q14" s="7" t="n">
        <f aca="false">IFERROR(AH14/AI14,"")</f>
        <v>0.649450996339976</v>
      </c>
      <c r="R14" s="8" t="n">
        <v>-0.0160444899002813</v>
      </c>
      <c r="S14" s="8" t="n">
        <v>0.14502298588243</v>
      </c>
      <c r="T14" s="5" t="s">
        <v>38</v>
      </c>
      <c r="V14" s="9" t="n">
        <v>782.31</v>
      </c>
      <c r="W14" s="9" t="n">
        <v>753</v>
      </c>
      <c r="X14" s="9" t="n">
        <v>772.1</v>
      </c>
      <c r="Y14" s="9" t="n">
        <v>711.65</v>
      </c>
      <c r="Z14" s="9" t="n">
        <v>736.25</v>
      </c>
      <c r="AA14" s="10" t="n">
        <v>30671000</v>
      </c>
      <c r="AB14" s="10" t="n">
        <v>34795000</v>
      </c>
      <c r="AC14" s="10" t="n">
        <v>34245000</v>
      </c>
      <c r="AD14" s="10" t="n">
        <v>35236000</v>
      </c>
      <c r="AE14" s="10" t="n">
        <v>31291000</v>
      </c>
      <c r="AF14" s="10" t="n">
        <v>9780000</v>
      </c>
      <c r="AG14" s="10" t="n">
        <v>12135000</v>
      </c>
      <c r="AH14" s="10" t="n">
        <v>3194000</v>
      </c>
      <c r="AI14" s="10" t="n">
        <v>4918000</v>
      </c>
    </row>
    <row r="15" customFormat="false" ht="15" hidden="false" customHeight="false" outlineLevel="0" collapsed="false">
      <c r="A15" s="3" t="n">
        <v>12</v>
      </c>
      <c r="B15" s="4" t="s">
        <v>49</v>
      </c>
      <c r="C15" s="5" t="n">
        <v>7.13</v>
      </c>
      <c r="D15" s="6" t="n">
        <f aca="false">IFERROR(V15/W15-1,"")</f>
        <v>-0.0201416744900572</v>
      </c>
      <c r="E15" s="6" t="n">
        <f aca="false">IFERROR(AA15/AB15-1,"")</f>
        <v>-0.0909477866061293</v>
      </c>
      <c r="F15" s="3" t="str">
        <f aca="false">IF(OR(D15="",E15=""),"n/a (new)",IF(D15&gt;=0,IF(E15&gt;=0,"Long Buildup","Short Covering"),IF(E15&gt;=0,"Short Buildup","Long Unwinding")))</f>
        <v>Long Unwinding</v>
      </c>
      <c r="G15" s="6" t="n">
        <f aca="false">IFERROR(V15/X15-1,"")</f>
        <v>-6.79337175943928E-005</v>
      </c>
      <c r="H15" s="6" t="n">
        <f aca="false">IFERROR(AA15/AC15-1,"")</f>
        <v>-0.137870714247268</v>
      </c>
      <c r="I15" s="3" t="str">
        <f aca="false">IF(OR(G15="",H15=""),"n/a (new)",IF(G15&gt;=0,IF(H15&gt;=0,"Long Buildup","Short Covering"),IF(H15&gt;=0,"Short Buildup","Long Unwinding")))</f>
        <v>Long Unwinding</v>
      </c>
      <c r="J15" s="6" t="n">
        <f aca="false">IFERROR(V15/Y15-1,"")</f>
        <v>0.0498373259643854</v>
      </c>
      <c r="K15" s="6" t="n">
        <f aca="false">IFERROR(AA15/AD15-1,"")</f>
        <v>0.289809558320248</v>
      </c>
      <c r="L15" s="3" t="str">
        <f aca="false">IF(OR(J15="",K15=""),"n/a (new)",IF(J15&gt;=0,IF(K15&gt;=0,"Long Buildup","Short Covering"),IF(K15&gt;=0,"Short Buildup","Long Unwinding")))</f>
        <v>Long Buildup</v>
      </c>
      <c r="M15" s="6" t="n">
        <f aca="false">IFERROR(V15/Z15-1,"")</f>
        <v>0.069789284775839</v>
      </c>
      <c r="N15" s="6" t="n">
        <f aca="false">IFERROR(AA15/AE15-1,"")</f>
        <v>0.120457486621664</v>
      </c>
      <c r="O15" s="3" t="str">
        <f aca="false">IF(OR(M15="",N15=""),"n/a (new)",IF(M15&gt;=0,IF(N15&gt;=0,"Long Buildup","Short Covering"),IF(N15&gt;=0,"Short Buildup","Long Unwinding")))</f>
        <v>Long Buildup</v>
      </c>
      <c r="P15" s="7" t="n">
        <f aca="false">IFERROR(AF15/AG15,"")</f>
        <v>0.697007125890736</v>
      </c>
      <c r="Q15" s="7" t="n">
        <f aca="false">IFERROR(AH15/AI15,"")</f>
        <v>0.772517159266004</v>
      </c>
      <c r="R15" s="8" t="n">
        <v>0.00286284375813306</v>
      </c>
      <c r="S15" s="8" t="n">
        <v>0.0428905884189168</v>
      </c>
      <c r="T15" s="5" t="s">
        <v>36</v>
      </c>
      <c r="V15" s="9" t="n">
        <v>5740.5</v>
      </c>
      <c r="W15" s="9" t="n">
        <v>5858.5</v>
      </c>
      <c r="X15" s="9" t="n">
        <v>5740.89</v>
      </c>
      <c r="Y15" s="9" t="n">
        <v>5467.99</v>
      </c>
      <c r="Z15" s="9" t="n">
        <v>5366.01</v>
      </c>
      <c r="AA15" s="10" t="n">
        <v>4004375</v>
      </c>
      <c r="AB15" s="10" t="n">
        <v>4405000</v>
      </c>
      <c r="AC15" s="10" t="n">
        <v>4644750</v>
      </c>
      <c r="AD15" s="10" t="n">
        <v>3104625</v>
      </c>
      <c r="AE15" s="10" t="n">
        <v>3573875</v>
      </c>
      <c r="AF15" s="10" t="n">
        <v>1834000</v>
      </c>
      <c r="AG15" s="10" t="n">
        <v>2631250</v>
      </c>
      <c r="AH15" s="10" t="n">
        <v>689375</v>
      </c>
      <c r="AI15" s="10" t="n">
        <v>892375</v>
      </c>
    </row>
    <row r="16" customFormat="false" ht="15" hidden="false" customHeight="false" outlineLevel="0" collapsed="false">
      <c r="A16" s="3" t="n">
        <v>13</v>
      </c>
      <c r="B16" s="4" t="s">
        <v>50</v>
      </c>
      <c r="C16" s="5" t="n">
        <v>6.64</v>
      </c>
      <c r="D16" s="6" t="n">
        <f aca="false">IFERROR(V16/W16-1,"")</f>
        <v>-0.00429690791136572</v>
      </c>
      <c r="E16" s="6" t="n">
        <f aca="false">IFERROR(AA16/AB16-1,"")</f>
        <v>0.0195133800251002</v>
      </c>
      <c r="F16" s="3" t="str">
        <f aca="false">IF(OR(D16="",E16=""),"n/a (new)",IF(D16&gt;=0,IF(E16&gt;=0,"Long Buildup","Short Covering"),IF(E16&gt;=0,"Short Buildup","Long Unwinding")))</f>
        <v>Short Buildup</v>
      </c>
      <c r="G16" s="6" t="n">
        <f aca="false">IFERROR(V16/X16-1,"")</f>
        <v>0.0259125830114155</v>
      </c>
      <c r="H16" s="6" t="n">
        <f aca="false">IFERROR(AA16/AC16-1,"")</f>
        <v>0.0208772498783849</v>
      </c>
      <c r="I16" s="3" t="str">
        <f aca="false">IF(OR(G16="",H16=""),"n/a (new)",IF(G16&gt;=0,IF(H16&gt;=0,"Long Buildup","Short Covering"),IF(H16&gt;=0,"Short Buildup","Long Unwinding")))</f>
        <v>Long Buildup</v>
      </c>
      <c r="J16" s="6" t="n">
        <f aca="false">IFERROR(V16/Y16-1,"")</f>
        <v>0.0100854700854702</v>
      </c>
      <c r="K16" s="6" t="n">
        <f aca="false">IFERROR(AA16/AD16-1,"")</f>
        <v>0.0227845016651775</v>
      </c>
      <c r="L16" s="3" t="str">
        <f aca="false">IF(OR(J16="",K16=""),"n/a (new)",IF(J16&gt;=0,IF(K16&gt;=0,"Long Buildup","Short Covering"),IF(K16&gt;=0,"Short Buildup","Long Unwinding")))</f>
        <v>Long Buildup</v>
      </c>
      <c r="M16" s="6" t="n">
        <f aca="false">IFERROR(V16/Z16-1,"")</f>
        <v>0.00861995391311776</v>
      </c>
      <c r="N16" s="6" t="n">
        <f aca="false">IFERROR(AA16/AE16-1,"")</f>
        <v>-0.0349677147400893</v>
      </c>
      <c r="O16" s="3" t="str">
        <f aca="false">IF(OR(M16="",N16=""),"n/a (new)",IF(M16&gt;=0,IF(N16&gt;=0,"Long Buildup","Short Covering"),IF(N16&gt;=0,"Short Buildup","Long Unwinding")))</f>
        <v>Short Covering</v>
      </c>
      <c r="P16" s="7" t="n">
        <f aca="false">IFERROR(AF16/AG16,"")</f>
        <v>1.02483861051337</v>
      </c>
      <c r="Q16" s="7" t="n">
        <f aca="false">IFERROR(AH16/AI16,"")</f>
        <v>1.0848166680338</v>
      </c>
      <c r="R16" s="8" t="n">
        <v>-0.0220473107358978</v>
      </c>
      <c r="S16" s="8" t="n">
        <v>0.0853750546003256</v>
      </c>
      <c r="T16" s="5" t="s">
        <v>38</v>
      </c>
      <c r="V16" s="9" t="n">
        <v>236.36</v>
      </c>
      <c r="W16" s="9" t="n">
        <v>237.38</v>
      </c>
      <c r="X16" s="9" t="n">
        <v>230.39</v>
      </c>
      <c r="Y16" s="9" t="n">
        <v>234</v>
      </c>
      <c r="Z16" s="9" t="n">
        <v>234.34</v>
      </c>
      <c r="AA16" s="10" t="n">
        <v>147320550</v>
      </c>
      <c r="AB16" s="10" t="n">
        <v>144500850</v>
      </c>
      <c r="AC16" s="10" t="n">
        <v>144307800</v>
      </c>
      <c r="AD16" s="10" t="n">
        <v>144038700</v>
      </c>
      <c r="AE16" s="10" t="n">
        <v>152658675</v>
      </c>
      <c r="AF16" s="10" t="n">
        <v>48756825</v>
      </c>
      <c r="AG16" s="10" t="n">
        <v>47575125</v>
      </c>
      <c r="AH16" s="10" t="n">
        <v>38683125</v>
      </c>
      <c r="AI16" s="10" t="n">
        <v>35658675</v>
      </c>
    </row>
    <row r="17" customFormat="false" ht="15" hidden="false" customHeight="false" outlineLevel="0" collapsed="false">
      <c r="A17" s="3" t="n">
        <v>14</v>
      </c>
      <c r="B17" s="4" t="s">
        <v>51</v>
      </c>
      <c r="C17" s="5" t="n">
        <v>5.88</v>
      </c>
      <c r="D17" s="6" t="n">
        <f aca="false">IFERROR(V17/W17-1,"")</f>
        <v>0.0103266685778176</v>
      </c>
      <c r="E17" s="6" t="n">
        <f aca="false">IFERROR(AA17/AB17-1,"")</f>
        <v>-0.00439812601587153</v>
      </c>
      <c r="F17" s="3" t="str">
        <f aca="false">IF(OR(D17="",E17=""),"n/a (new)",IF(D17&gt;=0,IF(E17&gt;=0,"Long Buildup","Short Covering"),IF(E17&gt;=0,"Short Buildup","Long Unwinding")))</f>
        <v>Short Covering</v>
      </c>
      <c r="G17" s="6" t="n">
        <f aca="false">IFERROR(V17/X17-1,"")</f>
        <v>0.00491425721368932</v>
      </c>
      <c r="H17" s="6" t="n">
        <f aca="false">IFERROR(AA17/AC17-1,"")</f>
        <v>0.0713789644262675</v>
      </c>
      <c r="I17" s="3" t="str">
        <f aca="false">IF(OR(G17="",H17=""),"n/a (new)",IF(G17&gt;=0,IF(H17&gt;=0,"Long Buildup","Short Covering"),IF(H17&gt;=0,"Short Buildup","Long Unwinding")))</f>
        <v>Long Buildup</v>
      </c>
      <c r="J17" s="6" t="n">
        <f aca="false">IFERROR(V17/Y17-1,"")</f>
        <v>0.0505620562209577</v>
      </c>
      <c r="K17" s="6" t="n">
        <f aca="false">IFERROR(AA17/AD17-1,"")</f>
        <v>0.0462172209384106</v>
      </c>
      <c r="L17" s="3" t="str">
        <f aca="false">IF(OR(J17="",K17=""),"n/a (new)",IF(J17&gt;=0,IF(K17&gt;=0,"Long Buildup","Short Covering"),IF(K17&gt;=0,"Short Buildup","Long Unwinding")))</f>
        <v>Long Buildup</v>
      </c>
      <c r="M17" s="6" t="n">
        <f aca="false">IFERROR(V17/Z17-1,"")</f>
        <v>-0.00357274676043695</v>
      </c>
      <c r="N17" s="6" t="n">
        <f aca="false">IFERROR(AA17/AE17-1,"")</f>
        <v>0.030377993271324</v>
      </c>
      <c r="O17" s="3" t="str">
        <f aca="false">IF(OR(M17="",N17=""),"n/a (new)",IF(M17&gt;=0,IF(N17&gt;=0,"Long Buildup","Short Covering"),IF(N17&gt;=0,"Short Buildup","Long Unwinding")))</f>
        <v>Short Buildup</v>
      </c>
      <c r="P17" s="7" t="n">
        <f aca="false">IFERROR(AF17/AG17,"")</f>
        <v>0.557474434590741</v>
      </c>
      <c r="Q17" s="7" t="n">
        <f aca="false">IFERROR(AH17/AI17,"")</f>
        <v>0.436627723397537</v>
      </c>
      <c r="R17" s="8" t="n">
        <v>-0.00869883710282937</v>
      </c>
      <c r="S17" s="8" t="n">
        <v>0.074474214923653</v>
      </c>
      <c r="T17" s="5" t="s">
        <v>38</v>
      </c>
      <c r="V17" s="9" t="n">
        <v>10960.64</v>
      </c>
      <c r="W17" s="9" t="n">
        <v>10848.61</v>
      </c>
      <c r="X17" s="9" t="n">
        <v>10907.04</v>
      </c>
      <c r="Y17" s="9" t="n">
        <v>10433.12</v>
      </c>
      <c r="Z17" s="9" t="n">
        <v>10999.94</v>
      </c>
      <c r="AA17" s="10" t="n">
        <v>2082600</v>
      </c>
      <c r="AB17" s="10" t="n">
        <v>2091800</v>
      </c>
      <c r="AC17" s="10" t="n">
        <v>1943850</v>
      </c>
      <c r="AD17" s="10" t="n">
        <v>1990600</v>
      </c>
      <c r="AE17" s="10" t="n">
        <v>2021200</v>
      </c>
      <c r="AF17" s="10" t="n">
        <v>656900</v>
      </c>
      <c r="AG17" s="10" t="n">
        <v>1178350</v>
      </c>
      <c r="AH17" s="10" t="n">
        <v>345700</v>
      </c>
      <c r="AI17" s="10" t="n">
        <v>791750</v>
      </c>
    </row>
    <row r="18" customFormat="false" ht="15" hidden="false" customHeight="false" outlineLevel="0" collapsed="false">
      <c r="A18" s="3" t="n">
        <v>15</v>
      </c>
      <c r="B18" s="4" t="s">
        <v>52</v>
      </c>
      <c r="C18" s="5" t="n">
        <v>5.87</v>
      </c>
      <c r="D18" s="6" t="n">
        <f aca="false">IFERROR(V18/W18-1,"")</f>
        <v>-0.00384167636786958</v>
      </c>
      <c r="E18" s="6" t="n">
        <f aca="false">IFERROR(AA18/AB18-1,"")</f>
        <v>0.00485795754567531</v>
      </c>
      <c r="F18" s="3" t="str">
        <f aca="false">IF(OR(D18="",E18=""),"n/a (new)",IF(D18&gt;=0,IF(E18&gt;=0,"Long Buildup","Short Covering"),IF(E18&gt;=0,"Short Buildup","Long Unwinding")))</f>
        <v>Short Buildup</v>
      </c>
      <c r="G18" s="6" t="n">
        <f aca="false">IFERROR(V18/X18-1,"")</f>
        <v>0.00187331694181014</v>
      </c>
      <c r="H18" s="6" t="n">
        <f aca="false">IFERROR(AA18/AC18-1,"")</f>
        <v>0.0308775731310942</v>
      </c>
      <c r="I18" s="3" t="str">
        <f aca="false">IF(OR(G18="",H18=""),"n/a (new)",IF(G18&gt;=0,IF(H18&gt;=0,"Long Buildup","Short Covering"),IF(H18&gt;=0,"Short Buildup","Long Unwinding")))</f>
        <v>Long Buildup</v>
      </c>
      <c r="J18" s="6" t="n">
        <f aca="false">IFERROR(V18/Y18-1,"")</f>
        <v>0.059296855657341</v>
      </c>
      <c r="K18" s="6" t="n">
        <f aca="false">IFERROR(AA18/AD18-1,"")</f>
        <v>-0.0676139147476728</v>
      </c>
      <c r="L18" s="3" t="str">
        <f aca="false">IF(OR(J18="",K18=""),"n/a (new)",IF(J18&gt;=0,IF(K18&gt;=0,"Long Buildup","Short Covering"),IF(K18&gt;=0,"Short Buildup","Long Unwinding")))</f>
        <v>Short Covering</v>
      </c>
      <c r="M18" s="6" t="n">
        <f aca="false">IFERROR(V18/Z18-1,"")</f>
        <v>0.0177454268655297</v>
      </c>
      <c r="N18" s="6" t="n">
        <f aca="false">IFERROR(AA18/AE18-1,"")</f>
        <v>-0.0601540892927697</v>
      </c>
      <c r="O18" s="3" t="str">
        <f aca="false">IF(OR(M18="",N18=""),"n/a (new)",IF(M18&gt;=0,IF(N18&gt;=0,"Long Buildup","Short Covering"),IF(N18&gt;=0,"Short Buildup","Long Unwinding")))</f>
        <v>Short Covering</v>
      </c>
      <c r="P18" s="7" t="n">
        <f aca="false">IFERROR(AF18/AG18,"")</f>
        <v>0.670347196662986</v>
      </c>
      <c r="Q18" s="7" t="n">
        <f aca="false">IFERROR(AH18/AI18,"")</f>
        <v>1.07224100830003</v>
      </c>
      <c r="R18" s="8" t="n">
        <v>-0.0225264759230004</v>
      </c>
      <c r="S18" s="8" t="n">
        <v>0.0776668418286914</v>
      </c>
      <c r="T18" s="5" t="s">
        <v>38</v>
      </c>
      <c r="V18" s="9" t="n">
        <v>855.7</v>
      </c>
      <c r="W18" s="9" t="n">
        <v>859</v>
      </c>
      <c r="X18" s="9" t="n">
        <v>854.1</v>
      </c>
      <c r="Y18" s="9" t="n">
        <v>807.8</v>
      </c>
      <c r="Z18" s="9" t="n">
        <v>840.78</v>
      </c>
      <c r="AA18" s="10" t="n">
        <v>9515000</v>
      </c>
      <c r="AB18" s="10" t="n">
        <v>9469000</v>
      </c>
      <c r="AC18" s="10" t="n">
        <v>9230000</v>
      </c>
      <c r="AD18" s="10" t="n">
        <v>10205000</v>
      </c>
      <c r="AE18" s="10" t="n">
        <v>10124000</v>
      </c>
      <c r="AF18" s="10" t="n">
        <v>5464000</v>
      </c>
      <c r="AG18" s="10" t="n">
        <v>8151000</v>
      </c>
      <c r="AH18" s="10" t="n">
        <v>3488000</v>
      </c>
      <c r="AI18" s="10" t="n">
        <v>3253000</v>
      </c>
    </row>
    <row r="19" customFormat="false" ht="15" hidden="false" customHeight="false" outlineLevel="0" collapsed="false">
      <c r="A19" s="3" t="n">
        <v>16</v>
      </c>
      <c r="B19" s="4" t="s">
        <v>53</v>
      </c>
      <c r="C19" s="5" t="n">
        <v>5.87</v>
      </c>
      <c r="D19" s="6" t="n">
        <f aca="false">IFERROR(V19/W19-1,"")</f>
        <v>0.0220671020040533</v>
      </c>
      <c r="E19" s="6" t="n">
        <f aca="false">IFERROR(AA19/AB19-1,"")</f>
        <v>0.0775042930738408</v>
      </c>
      <c r="F19" s="3" t="str">
        <f aca="false">IF(OR(D19="",E19=""),"n/a (new)",IF(D19&gt;=0,IF(E19&gt;=0,"Long Buildup","Short Covering"),IF(E19&gt;=0,"Short Buildup","Long Unwinding")))</f>
        <v>Long Buildup</v>
      </c>
      <c r="G19" s="6" t="n">
        <f aca="false">IFERROR(V19/X19-1,"")</f>
        <v>0.00220799293442253</v>
      </c>
      <c r="H19" s="6" t="n">
        <f aca="false">IFERROR(AA19/AC19-1,"")</f>
        <v>0.124895422493128</v>
      </c>
      <c r="I19" s="3" t="str">
        <f aca="false">IF(OR(G19="",H19=""),"n/a (new)",IF(G19&gt;=0,IF(H19&gt;=0,"Long Buildup","Short Covering"),IF(H19&gt;=0,"Short Buildup","Long Unwinding")))</f>
        <v>Long Buildup</v>
      </c>
      <c r="J19" s="6" t="n">
        <f aca="false">IFERROR(V19/Y19-1,"")</f>
        <v>0.0468173431734318</v>
      </c>
      <c r="K19" s="6" t="n">
        <f aca="false">IFERROR(AA19/AD19-1,"")</f>
        <v>0.165717116670795</v>
      </c>
      <c r="L19" s="3" t="str">
        <f aca="false">IF(OR(J19="",K19=""),"n/a (new)",IF(J19&gt;=0,IF(K19&gt;=0,"Long Buildup","Short Covering"),IF(K19&gt;=0,"Short Buildup","Long Unwinding")))</f>
        <v>Long Buildup</v>
      </c>
      <c r="M19" s="6" t="n">
        <f aca="false">IFERROR(V19/Z19-1,"")</f>
        <v>-0.00460526315789478</v>
      </c>
      <c r="N19" s="6" t="n">
        <f aca="false">IFERROR(AA19/AE19-1,"")</f>
        <v>0.317653646927061</v>
      </c>
      <c r="O19" s="3" t="str">
        <f aca="false">IF(OR(M19="",N19=""),"n/a (new)",IF(M19&gt;=0,IF(N19&gt;=0,"Long Buildup","Short Covering"),IF(N19&gt;=0,"Short Buildup","Long Unwinding")))</f>
        <v>Short Buildup</v>
      </c>
      <c r="P19" s="7" t="n">
        <f aca="false">IFERROR(AF19/AG19,"")</f>
        <v>0.553350455288349</v>
      </c>
      <c r="Q19" s="7" t="n">
        <f aca="false">IFERROR(AH19/AI19,"")</f>
        <v>0.596124031007752</v>
      </c>
      <c r="R19" s="8" t="n">
        <v>-0.0147252747252747</v>
      </c>
      <c r="S19" s="8" t="n">
        <v>0.256374840628984</v>
      </c>
      <c r="T19" s="5" t="s">
        <v>38</v>
      </c>
      <c r="V19" s="9" t="n">
        <v>45.39</v>
      </c>
      <c r="W19" s="9" t="n">
        <v>44.41</v>
      </c>
      <c r="X19" s="9" t="n">
        <v>45.29</v>
      </c>
      <c r="Y19" s="9" t="n">
        <v>43.36</v>
      </c>
      <c r="Z19" s="9" t="n">
        <v>45.6</v>
      </c>
      <c r="AA19" s="10" t="n">
        <v>112944000</v>
      </c>
      <c r="AB19" s="10" t="n">
        <v>104820000</v>
      </c>
      <c r="AC19" s="10" t="n">
        <v>100404000</v>
      </c>
      <c r="AD19" s="10" t="n">
        <v>96888000</v>
      </c>
      <c r="AE19" s="10" t="n">
        <v>85716000</v>
      </c>
      <c r="AF19" s="10" t="n">
        <v>28440000</v>
      </c>
      <c r="AG19" s="10" t="n">
        <v>51396000</v>
      </c>
      <c r="AH19" s="10" t="n">
        <v>18456000</v>
      </c>
      <c r="AI19" s="10" t="n">
        <v>30960000</v>
      </c>
    </row>
    <row r="20" customFormat="false" ht="15" hidden="false" customHeight="false" outlineLevel="0" collapsed="false">
      <c r="A20" s="3" t="n">
        <v>17</v>
      </c>
      <c r="B20" s="4" t="s">
        <v>54</v>
      </c>
      <c r="C20" s="5" t="n">
        <v>5.72</v>
      </c>
      <c r="D20" s="6" t="n">
        <f aca="false">IFERROR(V20/W20-1,"")</f>
        <v>0.00888808664259932</v>
      </c>
      <c r="E20" s="6" t="n">
        <f aca="false">IFERROR(AA20/AB20-1,"")</f>
        <v>-0.00991382726953605</v>
      </c>
      <c r="F20" s="3" t="str">
        <f aca="false">IF(OR(D20="",E20=""),"n/a (new)",IF(D20&gt;=0,IF(E20&gt;=0,"Long Buildup","Short Covering"),IF(E20&gt;=0,"Short Buildup","Long Unwinding")))</f>
        <v>Short Covering</v>
      </c>
      <c r="G20" s="6" t="n">
        <f aca="false">IFERROR(V20/X20-1,"")</f>
        <v>0.000221904080171864</v>
      </c>
      <c r="H20" s="6" t="n">
        <f aca="false">IFERROR(AA20/AC20-1,"")</f>
        <v>-0.0527852407158643</v>
      </c>
      <c r="I20" s="3" t="str">
        <f aca="false">IF(OR(G20="",H20=""),"n/a (new)",IF(G20&gt;=0,IF(H20&gt;=0,"Long Buildup","Short Covering"),IF(H20&gt;=0,"Short Buildup","Long Unwinding")))</f>
        <v>Short Covering</v>
      </c>
      <c r="J20" s="6" t="n">
        <f aca="false">IFERROR(V20/Y20-1,"")</f>
        <v>0.0344773975746628</v>
      </c>
      <c r="K20" s="6" t="n">
        <f aca="false">IFERROR(AA20/AD20-1,"")</f>
        <v>-0.0738402546434832</v>
      </c>
      <c r="L20" s="3" t="str">
        <f aca="false">IF(OR(J20="",K20=""),"n/a (new)",IF(J20&gt;=0,IF(K20&gt;=0,"Long Buildup","Short Covering"),IF(K20&gt;=0,"Short Buildup","Long Unwinding")))</f>
        <v>Short Covering</v>
      </c>
      <c r="M20" s="6" t="n">
        <f aca="false">IFERROR(V20/Z20-1,"")</f>
        <v>0.0430800238877278</v>
      </c>
      <c r="N20" s="6" t="n">
        <f aca="false">IFERROR(AA20/AE20-1,"")</f>
        <v>-0.0203634611721735</v>
      </c>
      <c r="O20" s="3" t="str">
        <f aca="false">IF(OR(M20="",N20=""),"n/a (new)",IF(M20&gt;=0,IF(N20&gt;=0,"Long Buildup","Short Covering"),IF(N20&gt;=0,"Short Buildup","Long Unwinding")))</f>
        <v>Short Covering</v>
      </c>
      <c r="P20" s="7" t="n">
        <f aca="false">IFERROR(AF20/AG20,"")</f>
        <v>0.623811937650488</v>
      </c>
      <c r="Q20" s="7" t="n">
        <f aca="false">IFERROR(AH20/AI20,"")</f>
        <v>0.689011155418707</v>
      </c>
      <c r="R20" s="8" t="n">
        <v>-0.00422848133017983</v>
      </c>
      <c r="S20" s="8" t="n">
        <v>0.0862635885881593</v>
      </c>
      <c r="T20" s="5" t="s">
        <v>38</v>
      </c>
      <c r="V20" s="9" t="n">
        <v>1397.31</v>
      </c>
      <c r="W20" s="9" t="n">
        <v>1385</v>
      </c>
      <c r="X20" s="9" t="n">
        <v>1397</v>
      </c>
      <c r="Y20" s="9" t="n">
        <v>1350.74</v>
      </c>
      <c r="Z20" s="9" t="n">
        <v>1339.6</v>
      </c>
      <c r="AA20" s="10" t="n">
        <v>122409700</v>
      </c>
      <c r="AB20" s="10" t="n">
        <v>123635400</v>
      </c>
      <c r="AC20" s="10" t="n">
        <v>129231200</v>
      </c>
      <c r="AD20" s="10" t="n">
        <v>132169100</v>
      </c>
      <c r="AE20" s="10" t="n">
        <v>124954200</v>
      </c>
      <c r="AF20" s="10" t="n">
        <v>27566000</v>
      </c>
      <c r="AG20" s="10" t="n">
        <v>44189600</v>
      </c>
      <c r="AH20" s="10" t="n">
        <v>19110000</v>
      </c>
      <c r="AI20" s="10" t="n">
        <v>27735400</v>
      </c>
    </row>
    <row r="21" customFormat="false" ht="15" hidden="false" customHeight="false" outlineLevel="0" collapsed="false">
      <c r="A21" s="3" t="n">
        <v>18</v>
      </c>
      <c r="B21" s="4" t="s">
        <v>55</v>
      </c>
      <c r="C21" s="5" t="n">
        <v>5.67</v>
      </c>
      <c r="D21" s="6" t="n">
        <f aca="false">IFERROR(V21/W21-1,"")</f>
        <v>-0.0132364146953313</v>
      </c>
      <c r="E21" s="6" t="n">
        <f aca="false">IFERROR(AA21/AB21-1,"")</f>
        <v>0.0258686608796017</v>
      </c>
      <c r="F21" s="3" t="str">
        <f aca="false">IF(OR(D21="",E21=""),"n/a (new)",IF(D21&gt;=0,IF(E21&gt;=0,"Long Buildup","Short Covering"),IF(E21&gt;=0,"Short Buildup","Long Unwinding")))</f>
        <v>Short Buildup</v>
      </c>
      <c r="G21" s="6" t="n">
        <f aca="false">IFERROR(V21/X21-1,"")</f>
        <v>-0.0074664140544265</v>
      </c>
      <c r="H21" s="6" t="n">
        <f aca="false">IFERROR(AA21/AC21-1,"")</f>
        <v>0.081461727994484</v>
      </c>
      <c r="I21" s="3" t="str">
        <f aca="false">IF(OR(G21="",H21=""),"n/a (new)",IF(G21&gt;=0,IF(H21&gt;=0,"Long Buildup","Short Covering"),IF(H21&gt;=0,"Short Buildup","Long Unwinding")))</f>
        <v>Short Buildup</v>
      </c>
      <c r="J21" s="6" t="n">
        <f aca="false">IFERROR(V21/Y21-1,"")</f>
        <v>0.156670881756689</v>
      </c>
      <c r="K21" s="6" t="n">
        <f aca="false">IFERROR(AA21/AD21-1,"")</f>
        <v>0.12735709453746</v>
      </c>
      <c r="L21" s="3" t="str">
        <f aca="false">IF(OR(J21="",K21=""),"n/a (new)",IF(J21&gt;=0,IF(K21&gt;=0,"Long Buildup","Short Covering"),IF(K21&gt;=0,"Short Buildup","Long Unwinding")))</f>
        <v>Long Buildup</v>
      </c>
      <c r="M21" s="6" t="n">
        <f aca="false">IFERROR(V21/Z21-1,"")</f>
        <v>0.119613367009909</v>
      </c>
      <c r="N21" s="6" t="n">
        <f aca="false">IFERROR(AA21/AE21-1,"")</f>
        <v>0.0579057518920045</v>
      </c>
      <c r="O21" s="3" t="str">
        <f aca="false">IF(OR(M21="",N21=""),"n/a (new)",IF(M21&gt;=0,IF(N21&gt;=0,"Long Buildup","Short Covering"),IF(N21&gt;=0,"Short Buildup","Long Unwinding")))</f>
        <v>Long Buildup</v>
      </c>
      <c r="P21" s="7" t="n">
        <f aca="false">IFERROR(AF21/AG21,"")</f>
        <v>0.775086763046394</v>
      </c>
      <c r="Q21" s="7" t="n">
        <f aca="false">IFERROR(AH21/AI21,"")</f>
        <v>0.758533901801678</v>
      </c>
      <c r="R21" s="8" t="n">
        <v>0.00358314626143996</v>
      </c>
      <c r="S21" s="8" t="n">
        <v>0.0520734691581424</v>
      </c>
      <c r="T21" s="5" t="s">
        <v>36</v>
      </c>
      <c r="V21" s="9" t="n">
        <v>1152.53</v>
      </c>
      <c r="W21" s="9" t="n">
        <v>1167.99</v>
      </c>
      <c r="X21" s="9" t="n">
        <v>1161.2</v>
      </c>
      <c r="Y21" s="9" t="n">
        <v>996.42</v>
      </c>
      <c r="Z21" s="9" t="n">
        <v>1029.4</v>
      </c>
      <c r="AA21" s="10" t="n">
        <v>85325600</v>
      </c>
      <c r="AB21" s="10" t="n">
        <v>83174000</v>
      </c>
      <c r="AC21" s="10" t="n">
        <v>78898400</v>
      </c>
      <c r="AD21" s="10" t="n">
        <v>75686400</v>
      </c>
      <c r="AE21" s="10" t="n">
        <v>80655200</v>
      </c>
      <c r="AF21" s="10" t="n">
        <v>29122800</v>
      </c>
      <c r="AG21" s="10" t="n">
        <v>37573600</v>
      </c>
      <c r="AH21" s="10" t="n">
        <v>22061200</v>
      </c>
      <c r="AI21" s="10" t="n">
        <v>29084000</v>
      </c>
    </row>
    <row r="22" customFormat="false" ht="15" hidden="false" customHeight="false" outlineLevel="0" collapsed="false">
      <c r="A22" s="3" t="n">
        <v>19</v>
      </c>
      <c r="B22" s="4" t="s">
        <v>56</v>
      </c>
      <c r="C22" s="5" t="n">
        <v>5.57</v>
      </c>
      <c r="D22" s="6" t="n">
        <f aca="false">IFERROR(V22/W22-1,"")</f>
        <v>0.0128614916286149</v>
      </c>
      <c r="E22" s="6" t="n">
        <f aca="false">IFERROR(AA22/AB22-1,"")</f>
        <v>0.0180032733224222</v>
      </c>
      <c r="F22" s="3" t="str">
        <f aca="false">IF(OR(D22="",E22=""),"n/a (new)",IF(D22&gt;=0,IF(E22&gt;=0,"Long Buildup","Short Covering"),IF(E22&gt;=0,"Short Buildup","Long Unwinding")))</f>
        <v>Long Buildup</v>
      </c>
      <c r="G22" s="6" t="n">
        <f aca="false">IFERROR(V22/X22-1,"")</f>
        <v>0.00437702814881913</v>
      </c>
      <c r="H22" s="6" t="n">
        <f aca="false">IFERROR(AA22/AC22-1,"")</f>
        <v>0.0696912619769061</v>
      </c>
      <c r="I22" s="3" t="str">
        <f aca="false">IF(OR(G22="",H22=""),"n/a (new)",IF(G22&gt;=0,IF(H22&gt;=0,"Long Buildup","Short Covering"),IF(H22&gt;=0,"Short Buildup","Long Unwinding")))</f>
        <v>Long Buildup</v>
      </c>
      <c r="J22" s="6" t="n">
        <f aca="false">IFERROR(V22/Y22-1,"")</f>
        <v>0.018441995714723</v>
      </c>
      <c r="K22" s="6" t="n">
        <f aca="false">IFERROR(AA22/AD22-1,"")</f>
        <v>0.105263157894737</v>
      </c>
      <c r="L22" s="3" t="str">
        <f aca="false">IF(OR(J22="",K22=""),"n/a (new)",IF(J22&gt;=0,IF(K22&gt;=0,"Long Buildup","Short Covering"),IF(K22&gt;=0,"Short Buildup","Long Unwinding")))</f>
        <v>Long Buildup</v>
      </c>
      <c r="M22" s="6" t="n">
        <f aca="false">IFERROR(V22/Z22-1,"")</f>
        <v>-0.0384365291525177</v>
      </c>
      <c r="N22" s="6" t="n">
        <f aca="false">IFERROR(AA22/AE22-1,"")</f>
        <v>0.0482304790947756</v>
      </c>
      <c r="O22" s="3" t="str">
        <f aca="false">IF(OR(M22="",N22=""),"n/a (new)",IF(M22&gt;=0,IF(N22&gt;=0,"Long Buildup","Short Covering"),IF(N22&gt;=0,"Short Buildup","Long Unwinding")))</f>
        <v>Short Buildup</v>
      </c>
      <c r="P22" s="7" t="n">
        <f aca="false">IFERROR(AF22/AG22,"")</f>
        <v>0.718065967016492</v>
      </c>
      <c r="Q22" s="7" t="n">
        <f aca="false">IFERROR(AH22/AI22,"")</f>
        <v>0.639566613162119</v>
      </c>
      <c r="R22" s="8" t="n">
        <v>-0.00625094140683835</v>
      </c>
      <c r="S22" s="8" t="n">
        <v>0.0432169652426888</v>
      </c>
      <c r="T22" s="5" t="s">
        <v>38</v>
      </c>
      <c r="V22" s="9" t="n">
        <v>1330.9</v>
      </c>
      <c r="W22" s="9" t="n">
        <v>1314</v>
      </c>
      <c r="X22" s="9" t="n">
        <v>1325.1</v>
      </c>
      <c r="Y22" s="9" t="n">
        <v>1306.8</v>
      </c>
      <c r="Z22" s="9" t="n">
        <v>1384.1</v>
      </c>
      <c r="AA22" s="10" t="n">
        <v>11102700</v>
      </c>
      <c r="AB22" s="10" t="n">
        <v>10906350</v>
      </c>
      <c r="AC22" s="10" t="n">
        <v>10379350</v>
      </c>
      <c r="AD22" s="10" t="n">
        <v>10045300</v>
      </c>
      <c r="AE22" s="10" t="n">
        <v>10591850</v>
      </c>
      <c r="AF22" s="10" t="n">
        <v>4071075</v>
      </c>
      <c r="AG22" s="10" t="n">
        <v>5669500</v>
      </c>
      <c r="AH22" s="10" t="n">
        <v>3386825</v>
      </c>
      <c r="AI22" s="10" t="n">
        <v>5295500</v>
      </c>
    </row>
    <row r="23" customFormat="false" ht="15" hidden="false" customHeight="false" outlineLevel="0" collapsed="false">
      <c r="A23" s="3" t="n">
        <v>20</v>
      </c>
      <c r="B23" s="4" t="s">
        <v>57</v>
      </c>
      <c r="C23" s="5" t="n">
        <v>5.26</v>
      </c>
      <c r="D23" s="6" t="n">
        <f aca="false">IFERROR(V23/W23-1,"")</f>
        <v>-0.00426829268292683</v>
      </c>
      <c r="E23" s="6" t="n">
        <f aca="false">IFERROR(AA23/AB23-1,"")</f>
        <v>0.0111883882673118</v>
      </c>
      <c r="F23" s="3" t="str">
        <f aca="false">IF(OR(D23="",E23=""),"n/a (new)",IF(D23&gt;=0,IF(E23&gt;=0,"Long Buildup","Short Covering"),IF(E23&gt;=0,"Short Buildup","Long Unwinding")))</f>
        <v>Short Buildup</v>
      </c>
      <c r="G23" s="6" t="n">
        <f aca="false">IFERROR(V23/X23-1,"")</f>
        <v>-0.0280340455925242</v>
      </c>
      <c r="H23" s="6" t="n">
        <f aca="false">IFERROR(AA23/AC23-1,"")</f>
        <v>0.0490745305427329</v>
      </c>
      <c r="I23" s="3" t="str">
        <f aca="false">IF(OR(G23="",H23=""),"n/a (new)",IF(G23&gt;=0,IF(H23&gt;=0,"Long Buildup","Short Covering"),IF(H23&gt;=0,"Short Buildup","Long Unwinding")))</f>
        <v>Short Buildup</v>
      </c>
      <c r="J23" s="6" t="n">
        <f aca="false">IFERROR(V23/Y23-1,"")</f>
        <v>0.00554187192118216</v>
      </c>
      <c r="K23" s="6" t="n">
        <f aca="false">IFERROR(AA23/AD23-1,"")</f>
        <v>0.308879445314247</v>
      </c>
      <c r="L23" s="3" t="str">
        <f aca="false">IF(OR(J23="",K23=""),"n/a (new)",IF(J23&gt;=0,IF(K23&gt;=0,"Long Buildup","Short Covering"),IF(K23&gt;=0,"Short Buildup","Long Unwinding")))</f>
        <v>Long Buildup</v>
      </c>
      <c r="M23" s="6" t="n">
        <f aca="false">IFERROR(V23/Z23-1,"")</f>
        <v>0.103363468061243</v>
      </c>
      <c r="N23" s="6" t="n">
        <f aca="false">IFERROR(AA23/AE23-1,"")</f>
        <v>0.167132030315118</v>
      </c>
      <c r="O23" s="3" t="str">
        <f aca="false">IF(OR(M23="",N23=""),"n/a (new)",IF(M23&gt;=0,IF(N23&gt;=0,"Long Buildup","Short Covering"),IF(N23&gt;=0,"Short Buildup","Long Unwinding")))</f>
        <v>Long Buildup</v>
      </c>
      <c r="P23" s="7" t="n">
        <f aca="false">IFERROR(AF23/AG23,"")</f>
        <v>0.629395420139887</v>
      </c>
      <c r="Q23" s="7" t="n">
        <f aca="false">IFERROR(AH23/AI23,"")</f>
        <v>1.02177293934681</v>
      </c>
      <c r="R23" s="8" t="n">
        <v>-0.0232058444348948</v>
      </c>
      <c r="S23" s="8" t="n">
        <v>0.0936431989063569</v>
      </c>
      <c r="T23" s="5" t="s">
        <v>38</v>
      </c>
      <c r="V23" s="9" t="n">
        <v>1633</v>
      </c>
      <c r="W23" s="9" t="n">
        <v>1640</v>
      </c>
      <c r="X23" s="9" t="n">
        <v>1680.1</v>
      </c>
      <c r="Y23" s="9" t="n">
        <v>1624</v>
      </c>
      <c r="Z23" s="9" t="n">
        <v>1480.02</v>
      </c>
      <c r="AA23" s="10" t="n">
        <v>7607600</v>
      </c>
      <c r="AB23" s="10" t="n">
        <v>7523425</v>
      </c>
      <c r="AC23" s="10" t="n">
        <v>7251725</v>
      </c>
      <c r="AD23" s="10" t="n">
        <v>5812300</v>
      </c>
      <c r="AE23" s="10" t="n">
        <v>6518200</v>
      </c>
      <c r="AF23" s="10" t="n">
        <v>2134925</v>
      </c>
      <c r="AG23" s="10" t="n">
        <v>3392025</v>
      </c>
      <c r="AH23" s="10" t="n">
        <v>1281150</v>
      </c>
      <c r="AI23" s="10" t="n">
        <v>1253850</v>
      </c>
    </row>
    <row r="24" customFormat="false" ht="15" hidden="false" customHeight="false" outlineLevel="0" collapsed="false">
      <c r="A24" s="3" t="n">
        <v>21</v>
      </c>
      <c r="B24" s="4" t="s">
        <v>58</v>
      </c>
      <c r="C24" s="5" t="n">
        <v>4.58</v>
      </c>
      <c r="D24" s="6" t="n">
        <f aca="false">IFERROR(V24/W24-1,"")</f>
        <v>-0.0044114456524359</v>
      </c>
      <c r="E24" s="6" t="n">
        <f aca="false">IFERROR(AA24/AB24-1,"")</f>
        <v>-0.0451896677312713</v>
      </c>
      <c r="F24" s="3" t="str">
        <f aca="false">IF(OR(D24="",E24=""),"n/a (new)",IF(D24&gt;=0,IF(E24&gt;=0,"Long Buildup","Short Covering"),IF(E24&gt;=0,"Short Buildup","Long Unwinding")))</f>
        <v>Long Unwinding</v>
      </c>
      <c r="G24" s="6" t="n">
        <f aca="false">IFERROR(V24/X24-1,"")</f>
        <v>0.00487432988102099</v>
      </c>
      <c r="H24" s="6" t="n">
        <f aca="false">IFERROR(AA24/AC24-1,"")</f>
        <v>-0.0450291414481058</v>
      </c>
      <c r="I24" s="3" t="str">
        <f aca="false">IF(OR(G24="",H24=""),"n/a (new)",IF(G24&gt;=0,IF(H24&gt;=0,"Long Buildup","Short Covering"),IF(H24&gt;=0,"Short Buildup","Long Unwinding")))</f>
        <v>Short Covering</v>
      </c>
      <c r="J24" s="6" t="n">
        <f aca="false">IFERROR(V24/Y24-1,"")</f>
        <v>0.05</v>
      </c>
      <c r="K24" s="6" t="n">
        <f aca="false">IFERROR(AA24/AD24-1,"")</f>
        <v>-0.0339578786246776</v>
      </c>
      <c r="L24" s="3" t="str">
        <f aca="false">IF(OR(J24="",K24=""),"n/a (new)",IF(J24&gt;=0,IF(K24&gt;=0,"Long Buildup","Short Covering"),IF(K24&gt;=0,"Short Buildup","Long Unwinding")))</f>
        <v>Short Covering</v>
      </c>
      <c r="M24" s="6" t="n">
        <f aca="false">IFERROR(V24/Z24-1,"")</f>
        <v>0.0231129387866327</v>
      </c>
      <c r="N24" s="6" t="n">
        <f aca="false">IFERROR(AA24/AE24-1,"")</f>
        <v>-0.0806312381980038</v>
      </c>
      <c r="O24" s="3" t="str">
        <f aca="false">IF(OR(M24="",N24=""),"n/a (new)",IF(M24&gt;=0,IF(N24&gt;=0,"Long Buildup","Short Covering"),IF(N24&gt;=0,"Short Buildup","Long Unwinding")))</f>
        <v>Short Covering</v>
      </c>
      <c r="P24" s="7" t="n">
        <f aca="false">IFERROR(AF24/AG24,"")</f>
        <v>0.637779607520242</v>
      </c>
      <c r="Q24" s="7" t="n">
        <f aca="false">IFERROR(AH24/AI24,"")</f>
        <v>0.707887593804886</v>
      </c>
      <c r="R24" s="8" t="n">
        <v>-0.00297978577756308</v>
      </c>
      <c r="S24" s="8" t="n">
        <v>0.0515829934567649</v>
      </c>
      <c r="T24" s="5" t="s">
        <v>38</v>
      </c>
      <c r="V24" s="9" t="n">
        <v>1239</v>
      </c>
      <c r="W24" s="9" t="n">
        <v>1244.49</v>
      </c>
      <c r="X24" s="9" t="n">
        <v>1232.99</v>
      </c>
      <c r="Y24" s="9" t="n">
        <v>1180</v>
      </c>
      <c r="Z24" s="9" t="n">
        <v>1211.01</v>
      </c>
      <c r="AA24" s="10" t="n">
        <v>21300625</v>
      </c>
      <c r="AB24" s="10" t="n">
        <v>22308750</v>
      </c>
      <c r="AC24" s="10" t="n">
        <v>22305000</v>
      </c>
      <c r="AD24" s="10" t="n">
        <v>22049375</v>
      </c>
      <c r="AE24" s="10" t="n">
        <v>23168750</v>
      </c>
      <c r="AF24" s="10" t="n">
        <v>5809375</v>
      </c>
      <c r="AG24" s="10" t="n">
        <v>9108750</v>
      </c>
      <c r="AH24" s="10" t="n">
        <v>5541875</v>
      </c>
      <c r="AI24" s="10" t="n">
        <v>7828750</v>
      </c>
    </row>
    <row r="25" customFormat="false" ht="15" hidden="false" customHeight="false" outlineLevel="0" collapsed="false">
      <c r="A25" s="3" t="n">
        <v>22</v>
      </c>
      <c r="B25" s="4" t="s">
        <v>59</v>
      </c>
      <c r="C25" s="5" t="n">
        <v>3.87</v>
      </c>
      <c r="D25" s="6" t="n">
        <f aca="false">IFERROR(V25/W25-1,"")</f>
        <v>0.00125800548947863</v>
      </c>
      <c r="E25" s="6" t="n">
        <f aca="false">IFERROR(AA25/AB25-1,"")</f>
        <v>0.00772057688150452</v>
      </c>
      <c r="F25" s="3" t="str">
        <f aca="false">IF(OR(D25="",E25=""),"n/a (new)",IF(D25&gt;=0,IF(E25&gt;=0,"Long Buildup","Short Covering"),IF(E25&gt;=0,"Short Buildup","Long Unwinding")))</f>
        <v>Long Buildup</v>
      </c>
      <c r="G25" s="6" t="n">
        <f aca="false">IFERROR(V25/X25-1,"")</f>
        <v>0.000171360027417578</v>
      </c>
      <c r="H25" s="6" t="n">
        <f aca="false">IFERROR(AA25/AC25-1,"")</f>
        <v>0.00931023816888343</v>
      </c>
      <c r="I25" s="3" t="str">
        <f aca="false">IF(OR(G25="",H25=""),"n/a (new)",IF(G25&gt;=0,IF(H25&gt;=0,"Long Buildup","Short Covering"),IF(H25&gt;=0,"Short Buildup","Long Unwinding")))</f>
        <v>Long Buildup</v>
      </c>
      <c r="J25" s="6" t="n">
        <f aca="false">IFERROR(V25/Y25-1,"")</f>
        <v>0.0256199992971193</v>
      </c>
      <c r="K25" s="6" t="n">
        <f aca="false">IFERROR(AA25/AD25-1,"")</f>
        <v>-0.0228776762988472</v>
      </c>
      <c r="L25" s="3" t="str">
        <f aca="false">IF(OR(J25="",K25=""),"n/a (new)",IF(J25&gt;=0,IF(K25&gt;=0,"Long Buildup","Short Covering"),IF(K25&gt;=0,"Short Buildup","Long Unwinding")))</f>
        <v>Short Covering</v>
      </c>
      <c r="M25" s="6" t="n">
        <f aca="false">IFERROR(V25/Z25-1,"")</f>
        <v>-0.0243549097068607</v>
      </c>
      <c r="N25" s="6" t="n">
        <f aca="false">IFERROR(AA25/AE25-1,"")</f>
        <v>-0.090906558199142</v>
      </c>
      <c r="O25" s="3" t="str">
        <f aca="false">IF(OR(M25="",N25=""),"n/a (new)",IF(M25&gt;=0,IF(N25&gt;=0,"Long Buildup","Short Covering"),IF(N25&gt;=0,"Short Buildup","Long Unwinding")))</f>
        <v>Long Unwinding</v>
      </c>
      <c r="P25" s="7" t="n">
        <f aca="false">IFERROR(AF25/AG25,"")</f>
        <v>0.749867608120035</v>
      </c>
      <c r="Q25" s="7" t="n">
        <f aca="false">IFERROR(AH25/AI25,"")</f>
        <v>0.746299755712028</v>
      </c>
      <c r="R25" s="8" t="n">
        <v>-0.0206232813932172</v>
      </c>
      <c r="S25" s="8" t="n">
        <v>0.0781465477613312</v>
      </c>
      <c r="T25" s="5" t="s">
        <v>38</v>
      </c>
      <c r="V25" s="9" t="n">
        <v>1751</v>
      </c>
      <c r="W25" s="9" t="n">
        <v>1748.8</v>
      </c>
      <c r="X25" s="9" t="n">
        <v>1750.7</v>
      </c>
      <c r="Y25" s="9" t="n">
        <v>1707.26</v>
      </c>
      <c r="Z25" s="9" t="n">
        <v>1794.71</v>
      </c>
      <c r="AA25" s="10" t="n">
        <v>15499725</v>
      </c>
      <c r="AB25" s="10" t="n">
        <v>15380975</v>
      </c>
      <c r="AC25" s="10" t="n">
        <v>15356750</v>
      </c>
      <c r="AD25" s="10" t="n">
        <v>15862625</v>
      </c>
      <c r="AE25" s="10" t="n">
        <v>17049650</v>
      </c>
      <c r="AF25" s="10" t="n">
        <v>6053400</v>
      </c>
      <c r="AG25" s="10" t="n">
        <v>8072625</v>
      </c>
      <c r="AH25" s="10" t="n">
        <v>4933825</v>
      </c>
      <c r="AI25" s="10" t="n">
        <v>6611050</v>
      </c>
    </row>
    <row r="26" customFormat="false" ht="15" hidden="false" customHeight="false" outlineLevel="0" collapsed="false">
      <c r="A26" s="3" t="n">
        <v>23</v>
      </c>
      <c r="B26" s="4" t="s">
        <v>60</v>
      </c>
      <c r="C26" s="5" t="n">
        <v>3.62</v>
      </c>
      <c r="D26" s="6" t="n">
        <f aca="false">IFERROR(V26/W26-1,"")</f>
        <v>0.00771531100478473</v>
      </c>
      <c r="E26" s="6" t="n">
        <f aca="false">IFERROR(AA26/AB26-1,"")</f>
        <v>-0.00477345343958113</v>
      </c>
      <c r="F26" s="3" t="str">
        <f aca="false">IF(OR(D26="",E26=""),"n/a (new)",IF(D26&gt;=0,IF(E26&gt;=0,"Long Buildup","Short Covering"),IF(E26&gt;=0,"Short Buildup","Long Unwinding")))</f>
        <v>Short Covering</v>
      </c>
      <c r="G26" s="6" t="n">
        <f aca="false">IFERROR(V26/X26-1,"")</f>
        <v>0.00232004759071991</v>
      </c>
      <c r="H26" s="6" t="n">
        <f aca="false">IFERROR(AA26/AC26-1,"")</f>
        <v>0.0499106562703053</v>
      </c>
      <c r="I26" s="3" t="str">
        <f aca="false">IF(OR(G26="",H26=""),"n/a (new)",IF(G26&gt;=0,IF(H26&gt;=0,"Long Buildup","Short Covering"),IF(H26&gt;=0,"Short Buildup","Long Unwinding")))</f>
        <v>Long Buildup</v>
      </c>
      <c r="J26" s="6" t="n">
        <f aca="false">IFERROR(V26/Y26-1,"")</f>
        <v>0.00471079308288624</v>
      </c>
      <c r="K26" s="6" t="n">
        <f aca="false">IFERROR(AA26/AD26-1,"")</f>
        <v>0.16444464462661</v>
      </c>
      <c r="L26" s="3" t="str">
        <f aca="false">IF(OR(J26="",K26=""),"n/a (new)",IF(J26&gt;=0,IF(K26&gt;=0,"Long Buildup","Short Covering"),IF(K26&gt;=0,"Short Buildup","Long Unwinding")))</f>
        <v>Long Buildup</v>
      </c>
      <c r="M26" s="6" t="n">
        <f aca="false">IFERROR(V26/Z26-1,"")</f>
        <v>-0.0194948789571694</v>
      </c>
      <c r="N26" s="6" t="n">
        <f aca="false">IFERROR(AA26/AE26-1,"")</f>
        <v>0.209383917294288</v>
      </c>
      <c r="O26" s="3" t="str">
        <f aca="false">IF(OR(M26="",N26=""),"n/a (new)",IF(M26&gt;=0,IF(N26&gt;=0,"Long Buildup","Short Covering"),IF(N26&gt;=0,"Short Buildup","Long Unwinding")))</f>
        <v>Short Buildup</v>
      </c>
      <c r="P26" s="7" t="n">
        <f aca="false">IFERROR(AF26/AG26,"")</f>
        <v>0.943232894955885</v>
      </c>
      <c r="Q26" s="7" t="n">
        <f aca="false">IFERROR(AH26/AI26,"")</f>
        <v>0.743615257048093</v>
      </c>
      <c r="R26" s="8" t="n">
        <v>-0.032115304108606</v>
      </c>
      <c r="S26" s="8" t="n">
        <v>0.127490039840638</v>
      </c>
      <c r="T26" s="5" t="s">
        <v>38</v>
      </c>
      <c r="V26" s="9" t="n">
        <v>168.49</v>
      </c>
      <c r="W26" s="9" t="n">
        <v>167.2</v>
      </c>
      <c r="X26" s="9" t="n">
        <v>168.1</v>
      </c>
      <c r="Y26" s="9" t="n">
        <v>167.7</v>
      </c>
      <c r="Z26" s="9" t="n">
        <v>171.84</v>
      </c>
      <c r="AA26" s="10" t="n">
        <v>91778150</v>
      </c>
      <c r="AB26" s="10" t="n">
        <v>92218350</v>
      </c>
      <c r="AC26" s="10" t="n">
        <v>87415200</v>
      </c>
      <c r="AD26" s="10" t="n">
        <v>78817100</v>
      </c>
      <c r="AE26" s="10" t="n">
        <v>75888350</v>
      </c>
      <c r="AF26" s="10" t="n">
        <v>20114300</v>
      </c>
      <c r="AG26" s="10" t="n">
        <v>21324850</v>
      </c>
      <c r="AH26" s="10" t="n">
        <v>15918200</v>
      </c>
      <c r="AI26" s="10" t="n">
        <v>21406500</v>
      </c>
    </row>
    <row r="27" customFormat="false" ht="15" hidden="false" customHeight="false" outlineLevel="0" collapsed="false">
      <c r="A27" s="3" t="n">
        <v>24</v>
      </c>
      <c r="B27" s="4" t="s">
        <v>61</v>
      </c>
      <c r="C27" s="5" t="n">
        <v>3.62</v>
      </c>
      <c r="D27" s="6" t="n">
        <f aca="false">IFERROR(V27/W27-1,"")</f>
        <v>0.00677619259059048</v>
      </c>
      <c r="E27" s="6" t="n">
        <f aca="false">IFERROR(AA27/AB27-1,"")</f>
        <v>-0.0888204546375461</v>
      </c>
      <c r="F27" s="3" t="str">
        <f aca="false">IF(OR(D27="",E27=""),"n/a (new)",IF(D27&gt;=0,IF(E27&gt;=0,"Long Buildup","Short Covering"),IF(E27&gt;=0,"Short Buildup","Long Unwinding")))</f>
        <v>Short Covering</v>
      </c>
      <c r="G27" s="6" t="n">
        <f aca="false">IFERROR(V27/X27-1,"")</f>
        <v>-0.00174192683907282</v>
      </c>
      <c r="H27" s="6" t="n">
        <f aca="false">IFERROR(AA27/AC27-1,"")</f>
        <v>-0.0511413983712393</v>
      </c>
      <c r="I27" s="3" t="str">
        <f aca="false">IF(OR(G27="",H27=""),"n/a (new)",IF(G27&gt;=0,IF(H27&gt;=0,"Long Buildup","Short Covering"),IF(H27&gt;=0,"Short Buildup","Long Unwinding")))</f>
        <v>Long Unwinding</v>
      </c>
      <c r="J27" s="6" t="n">
        <f aca="false">IFERROR(V27/Y27-1,"")</f>
        <v>0.0299539170506913</v>
      </c>
      <c r="K27" s="6" t="n">
        <f aca="false">IFERROR(AA27/AD27-1,"")</f>
        <v>0.0162237888647867</v>
      </c>
      <c r="L27" s="3" t="str">
        <f aca="false">IF(OR(J27="",K27=""),"n/a (new)",IF(J27&gt;=0,IF(K27&gt;=0,"Long Buildup","Short Covering"),IF(K27&gt;=0,"Short Buildup","Long Unwinding")))</f>
        <v>Long Buildup</v>
      </c>
      <c r="M27" s="6" t="n">
        <f aca="false">IFERROR(V27/Z27-1,"")</f>
        <v>0.0258209190096517</v>
      </c>
      <c r="N27" s="6" t="n">
        <f aca="false">IFERROR(AA27/AE27-1,"")</f>
        <v>-0.151562028373076</v>
      </c>
      <c r="O27" s="3" t="str">
        <f aca="false">IF(OR(M27="",N27=""),"n/a (new)",IF(M27&gt;=0,IF(N27&gt;=0,"Long Buildup","Short Covering"),IF(N27&gt;=0,"Short Buildup","Long Unwinding")))</f>
        <v>Short Covering</v>
      </c>
      <c r="P27" s="7" t="n">
        <f aca="false">IFERROR(AF27/AG27,"")</f>
        <v>0.599882144961697</v>
      </c>
      <c r="Q27" s="7" t="n">
        <f aca="false">IFERROR(AH27/AI27,"")</f>
        <v>0.769248881563457</v>
      </c>
      <c r="R27" s="8" t="n">
        <v>-0.0345881903305945</v>
      </c>
      <c r="S27" s="8" t="n">
        <v>0.0578111797927692</v>
      </c>
      <c r="T27" s="5" t="s">
        <v>38</v>
      </c>
      <c r="V27" s="9" t="n">
        <v>1564.5</v>
      </c>
      <c r="W27" s="9" t="n">
        <v>1553.97</v>
      </c>
      <c r="X27" s="9" t="n">
        <v>1567.23</v>
      </c>
      <c r="Y27" s="9" t="n">
        <v>1519</v>
      </c>
      <c r="Z27" s="9" t="n">
        <v>1525.12</v>
      </c>
      <c r="AA27" s="10" t="n">
        <v>7308275</v>
      </c>
      <c r="AB27" s="10" t="n">
        <v>8020675</v>
      </c>
      <c r="AC27" s="10" t="n">
        <v>7702175</v>
      </c>
      <c r="AD27" s="10" t="n">
        <v>7191600</v>
      </c>
      <c r="AE27" s="10" t="n">
        <v>8613800</v>
      </c>
      <c r="AF27" s="10" t="n">
        <v>992550</v>
      </c>
      <c r="AG27" s="10" t="n">
        <v>1654575</v>
      </c>
      <c r="AH27" s="10" t="n">
        <v>1061775</v>
      </c>
      <c r="AI27" s="10" t="n">
        <v>1380275</v>
      </c>
    </row>
    <row r="28" customFormat="false" ht="15" hidden="false" customHeight="false" outlineLevel="0" collapsed="false">
      <c r="A28" s="3" t="n">
        <v>25</v>
      </c>
      <c r="B28" s="4" t="s">
        <v>62</v>
      </c>
      <c r="C28" s="5" t="n">
        <v>3.03</v>
      </c>
      <c r="D28" s="6" t="n">
        <f aca="false">IFERROR(V28/W28-1,"")</f>
        <v>0.018939393939394</v>
      </c>
      <c r="E28" s="6" t="n">
        <f aca="false">IFERROR(AA28/AB28-1,"")</f>
        <v>-0.0159678774862265</v>
      </c>
      <c r="F28" s="3" t="str">
        <f aca="false">IF(OR(D28="",E28=""),"n/a (new)",IF(D28&gt;=0,IF(E28&gt;=0,"Long Buildup","Short Covering"),IF(E28&gt;=0,"Short Buildup","Long Unwinding")))</f>
        <v>Short Covering</v>
      </c>
      <c r="G28" s="6" t="n">
        <f aca="false">IFERROR(V28/X28-1,"")</f>
        <v>0.0068532869418525</v>
      </c>
      <c r="H28" s="6" t="n">
        <f aca="false">IFERROR(AA28/AC28-1,"")</f>
        <v>-0.014311102796745</v>
      </c>
      <c r="I28" s="3" t="str">
        <f aca="false">IF(OR(G28="",H28=""),"n/a (new)",IF(G28&gt;=0,IF(H28&gt;=0,"Long Buildup","Short Covering"),IF(H28&gt;=0,"Short Buildup","Long Unwinding")))</f>
        <v>Short Covering</v>
      </c>
      <c r="J28" s="6" t="n">
        <f aca="false">IFERROR(V28/Y28-1,"")</f>
        <v>0.0782963155339258</v>
      </c>
      <c r="K28" s="6" t="n">
        <f aca="false">IFERROR(AA28/AD28-1,"")</f>
        <v>-0.0691635014574684</v>
      </c>
      <c r="L28" s="3" t="str">
        <f aca="false">IF(OR(J28="",K28=""),"n/a (new)",IF(J28&gt;=0,IF(K28&gt;=0,"Long Buildup","Short Covering"),IF(K28&gt;=0,"Short Buildup","Long Unwinding")))</f>
        <v>Short Covering</v>
      </c>
      <c r="M28" s="6" t="n">
        <f aca="false">IFERROR(V28/Z28-1,"")</f>
        <v>-0.0222288206745438</v>
      </c>
      <c r="N28" s="6" t="n">
        <f aca="false">IFERROR(AA28/AE28-1,"")</f>
        <v>-0.0446922309854048</v>
      </c>
      <c r="O28" s="3" t="str">
        <f aca="false">IF(OR(M28="",N28=""),"n/a (new)",IF(M28&gt;=0,IF(N28&gt;=0,"Long Buildup","Short Covering"),IF(N28&gt;=0,"Short Buildup","Long Unwinding")))</f>
        <v>Long Unwinding</v>
      </c>
      <c r="P28" s="7" t="n">
        <f aca="false">IFERROR(AF28/AG28,"")</f>
        <v>0.887275506304929</v>
      </c>
      <c r="Q28" s="7" t="n">
        <f aca="false">IFERROR(AH28/AI28,"")</f>
        <v>1.08867819297267</v>
      </c>
      <c r="V28" s="9" t="n">
        <v>1909.9</v>
      </c>
      <c r="W28" s="9" t="n">
        <v>1874.4</v>
      </c>
      <c r="X28" s="9" t="n">
        <v>1896.9</v>
      </c>
      <c r="Y28" s="9" t="n">
        <v>1771.22</v>
      </c>
      <c r="Z28" s="9" t="n">
        <v>1953.32</v>
      </c>
      <c r="AA28" s="10" t="n">
        <v>3688300</v>
      </c>
      <c r="AB28" s="10" t="n">
        <v>3748150</v>
      </c>
      <c r="AC28" s="10" t="n">
        <v>3741850</v>
      </c>
      <c r="AD28" s="10" t="n">
        <v>3962350</v>
      </c>
      <c r="AE28" s="10" t="n">
        <v>3860850</v>
      </c>
      <c r="AF28" s="10" t="n">
        <v>812700</v>
      </c>
      <c r="AG28" s="10" t="n">
        <v>915950</v>
      </c>
      <c r="AH28" s="10" t="n">
        <v>683200</v>
      </c>
      <c r="AI28" s="10" t="n">
        <v>627550</v>
      </c>
    </row>
    <row r="29" customFormat="false" ht="15" hidden="false" customHeight="false" outlineLevel="0" collapsed="false">
      <c r="A29" s="3" t="n">
        <v>26</v>
      </c>
      <c r="B29" s="4" t="s">
        <v>63</v>
      </c>
      <c r="C29" s="5" t="n">
        <v>3.01</v>
      </c>
      <c r="D29" s="6" t="n">
        <f aca="false">IFERROR(V29/W29-1,"")</f>
        <v>0.00273631840796029</v>
      </c>
      <c r="E29" s="6" t="n">
        <f aca="false">IFERROR(AA29/AB29-1,"")</f>
        <v>0.00268507138129914</v>
      </c>
      <c r="F29" s="3" t="str">
        <f aca="false">IF(OR(D29="",E29=""),"n/a (new)",IF(D29&gt;=0,IF(E29&gt;=0,"Long Buildup","Short Covering"),IF(E29&gt;=0,"Short Buildup","Long Unwinding")))</f>
        <v>Long Buildup</v>
      </c>
      <c r="G29" s="6" t="n">
        <f aca="false">IFERROR(V29/X29-1,"")</f>
        <v>0.0222316145393069</v>
      </c>
      <c r="H29" s="6" t="n">
        <f aca="false">IFERROR(AA29/AC29-1,"")</f>
        <v>-0.0216420664206642</v>
      </c>
      <c r="I29" s="3" t="str">
        <f aca="false">IF(OR(G29="",H29=""),"n/a (new)",IF(G29&gt;=0,IF(H29&gt;=0,"Long Buildup","Short Covering"),IF(H29&gt;=0,"Short Buildup","Long Unwinding")))</f>
        <v>Short Covering</v>
      </c>
      <c r="J29" s="6" t="n">
        <f aca="false">IFERROR(V29/Y29-1,"")</f>
        <v>0.0305070302513848</v>
      </c>
      <c r="K29" s="6" t="n">
        <f aca="false">IFERROR(AA29/AD29-1,"")</f>
        <v>-0.0405825945359146</v>
      </c>
      <c r="L29" s="3" t="str">
        <f aca="false">IF(OR(J29="",K29=""),"n/a (new)",IF(J29&gt;=0,IF(K29&gt;=0,"Long Buildup","Short Covering"),IF(K29&gt;=0,"Short Buildup","Long Unwinding")))</f>
        <v>Short Covering</v>
      </c>
      <c r="M29" s="6" t="n">
        <f aca="false">IFERROR(V29/Z29-1,"")</f>
        <v>-0.0160292921074043</v>
      </c>
      <c r="N29" s="6" t="n">
        <f aca="false">IFERROR(AA29/AE29-1,"")</f>
        <v>-0.0739421246572711</v>
      </c>
      <c r="O29" s="3" t="str">
        <f aca="false">IF(OR(M29="",N29=""),"n/a (new)",IF(M29&gt;=0,IF(N29&gt;=0,"Long Buildup","Short Covering"),IF(N29&gt;=0,"Short Buildup","Long Unwinding")))</f>
        <v>Long Unwinding</v>
      </c>
      <c r="P29" s="7" t="n">
        <f aca="false">IFERROR(AF29/AG29,"")</f>
        <v>0.774952163446701</v>
      </c>
      <c r="Q29" s="7" t="n">
        <f aca="false">IFERROR(AH29/AI29,"")</f>
        <v>0.835187245087134</v>
      </c>
      <c r="V29" s="9" t="n">
        <v>120.93</v>
      </c>
      <c r="W29" s="9" t="n">
        <v>120.6</v>
      </c>
      <c r="X29" s="9" t="n">
        <v>118.3</v>
      </c>
      <c r="Y29" s="9" t="n">
        <v>117.35</v>
      </c>
      <c r="Z29" s="9" t="n">
        <v>122.9</v>
      </c>
      <c r="AA29" s="10" t="n">
        <v>357932250</v>
      </c>
      <c r="AB29" s="10" t="n">
        <v>356973750</v>
      </c>
      <c r="AC29" s="10" t="n">
        <v>365850000</v>
      </c>
      <c r="AD29" s="10" t="n">
        <v>373072500</v>
      </c>
      <c r="AE29" s="10" t="n">
        <v>386511750</v>
      </c>
      <c r="AF29" s="10" t="n">
        <v>84746250</v>
      </c>
      <c r="AG29" s="10" t="n">
        <v>109356750</v>
      </c>
      <c r="AH29" s="10" t="n">
        <v>60817500</v>
      </c>
      <c r="AI29" s="10" t="n">
        <v>72819000</v>
      </c>
    </row>
    <row r="30" customFormat="false" ht="15" hidden="false" customHeight="false" outlineLevel="0" collapsed="false">
      <c r="A30" s="3" t="n">
        <v>27</v>
      </c>
      <c r="B30" s="4" t="s">
        <v>64</v>
      </c>
      <c r="C30" s="5" t="n">
        <v>2.94</v>
      </c>
      <c r="D30" s="6" t="n">
        <f aca="false">IFERROR(V30/W30-1,"")</f>
        <v>0.00653167185877468</v>
      </c>
      <c r="E30" s="6" t="n">
        <f aca="false">IFERROR(AA30/AB30-1,"")</f>
        <v>0.0134389887655788</v>
      </c>
      <c r="F30" s="3" t="str">
        <f aca="false">IF(OR(D30="",E30=""),"n/a (new)",IF(D30&gt;=0,IF(E30&gt;=0,"Long Buildup","Short Covering"),IF(E30&gt;=0,"Short Buildup","Long Unwinding")))</f>
        <v>Long Buildup</v>
      </c>
      <c r="G30" s="6" t="n">
        <f aca="false">IFERROR(V30/X30-1,"")</f>
        <v>0.00697084917617219</v>
      </c>
      <c r="H30" s="6" t="n">
        <f aca="false">IFERROR(AA30/AC30-1,"")</f>
        <v>-0.00937366567036724</v>
      </c>
      <c r="I30" s="3" t="str">
        <f aca="false">IF(OR(G30="",H30=""),"n/a (new)",IF(G30&gt;=0,IF(H30&gt;=0,"Long Buildup","Short Covering"),IF(H30&gt;=0,"Short Buildup","Long Unwinding")))</f>
        <v>Short Covering</v>
      </c>
      <c r="J30" s="6" t="n">
        <f aca="false">IFERROR(V30/Y30-1,"")</f>
        <v>0.0309731218822129</v>
      </c>
      <c r="K30" s="6" t="n">
        <f aca="false">IFERROR(AA30/AD30-1,"")</f>
        <v>0.0187373072067623</v>
      </c>
      <c r="L30" s="3" t="str">
        <f aca="false">IF(OR(J30="",K30=""),"n/a (new)",IF(J30&gt;=0,IF(K30&gt;=0,"Long Buildup","Short Covering"),IF(K30&gt;=0,"Short Buildup","Long Unwinding")))</f>
        <v>Long Buildup</v>
      </c>
      <c r="M30" s="6" t="n">
        <f aca="false">IFERROR(V30/Z30-1,"")</f>
        <v>-0.0179432624113476</v>
      </c>
      <c r="N30" s="6" t="n">
        <f aca="false">IFERROR(AA30/AE30-1,"")</f>
        <v>0.0312250411495483</v>
      </c>
      <c r="O30" s="3" t="str">
        <f aca="false">IF(OR(M30="",N30=""),"n/a (new)",IF(M30&gt;=0,IF(N30&gt;=0,"Long Buildup","Short Covering"),IF(N30&gt;=0,"Short Buildup","Long Unwinding")))</f>
        <v>Short Buildup</v>
      </c>
      <c r="P30" s="7" t="n">
        <f aca="false">IFERROR(AF30/AG30,"")</f>
        <v>0.843241523497864</v>
      </c>
      <c r="Q30" s="7" t="n">
        <f aca="false">IFERROR(AH30/AI30,"")</f>
        <v>0.758401775120576</v>
      </c>
      <c r="V30" s="9" t="n">
        <v>969.29</v>
      </c>
      <c r="W30" s="9" t="n">
        <v>963</v>
      </c>
      <c r="X30" s="9" t="n">
        <v>962.58</v>
      </c>
      <c r="Y30" s="9" t="n">
        <v>940.17</v>
      </c>
      <c r="Z30" s="9" t="n">
        <v>987</v>
      </c>
      <c r="AA30" s="10" t="n">
        <v>111362250</v>
      </c>
      <c r="AB30" s="10" t="n">
        <v>109885500</v>
      </c>
      <c r="AC30" s="10" t="n">
        <v>112416000</v>
      </c>
      <c r="AD30" s="10" t="n">
        <v>109314000</v>
      </c>
      <c r="AE30" s="10" t="n">
        <v>107990250</v>
      </c>
      <c r="AF30" s="10" t="n">
        <v>41744250</v>
      </c>
      <c r="AG30" s="10" t="n">
        <v>49504500</v>
      </c>
      <c r="AH30" s="10" t="n">
        <v>36913500</v>
      </c>
      <c r="AI30" s="10" t="n">
        <v>48672750</v>
      </c>
    </row>
    <row r="31" customFormat="false" ht="15" hidden="false" customHeight="false" outlineLevel="0" collapsed="false">
      <c r="A31" s="3" t="n">
        <v>28</v>
      </c>
      <c r="B31" s="4" t="s">
        <v>65</v>
      </c>
      <c r="C31" s="5" t="n">
        <v>2.55</v>
      </c>
      <c r="D31" s="6" t="n">
        <f aca="false">IFERROR(V31/W31-1,"")</f>
        <v>0.00255851817393693</v>
      </c>
      <c r="E31" s="6" t="n">
        <f aca="false">IFERROR(AA31/AB31-1,"")</f>
        <v>0.0242860590459335</v>
      </c>
      <c r="F31" s="3" t="str">
        <f aca="false">IF(OR(D31="",E31=""),"n/a (new)",IF(D31&gt;=0,IF(E31&gt;=0,"Long Buildup","Short Covering"),IF(E31&gt;=0,"Short Buildup","Long Unwinding")))</f>
        <v>Long Buildup</v>
      </c>
      <c r="G31" s="6" t="n">
        <f aca="false">IFERROR(V31/X31-1,"")</f>
        <v>-0.00443044619422572</v>
      </c>
      <c r="H31" s="6" t="n">
        <f aca="false">IFERROR(AA31/AC31-1,"")</f>
        <v>0.0412734498945062</v>
      </c>
      <c r="I31" s="3" t="str">
        <f aca="false">IF(OR(G31="",H31=""),"n/a (new)",IF(G31&gt;=0,IF(H31&gt;=0,"Long Buildup","Short Covering"),IF(H31&gt;=0,"Short Buildup","Long Unwinding")))</f>
        <v>Short Buildup</v>
      </c>
      <c r="J31" s="6" t="n">
        <f aca="false">IFERROR(V31/Y31-1,"")</f>
        <v>0.051920463684517</v>
      </c>
      <c r="K31" s="6" t="n">
        <f aca="false">IFERROR(AA31/AD31-1,"")</f>
        <v>0.0539433168890509</v>
      </c>
      <c r="L31" s="3" t="str">
        <f aca="false">IF(OR(J31="",K31=""),"n/a (new)",IF(J31&gt;=0,IF(K31&gt;=0,"Long Buildup","Short Covering"),IF(K31&gt;=0,"Short Buildup","Long Unwinding")))</f>
        <v>Long Buildup</v>
      </c>
      <c r="M31" s="6" t="n">
        <f aca="false">IFERROR(V31/Z31-1,"")</f>
        <v>0.0436715826546334</v>
      </c>
      <c r="N31" s="6" t="n">
        <f aca="false">IFERROR(AA31/AE31-1,"")</f>
        <v>-0.0278373735445696</v>
      </c>
      <c r="O31" s="3" t="str">
        <f aca="false">IF(OR(M31="",N31=""),"n/a (new)",IF(M31&gt;=0,IF(N31&gt;=0,"Long Buildup","Short Covering"),IF(N31&gt;=0,"Short Buildup","Long Unwinding")))</f>
        <v>Short Covering</v>
      </c>
      <c r="P31" s="7" t="n">
        <f aca="false">IFERROR(AF31/AG31,"")</f>
        <v>0.752991039396619</v>
      </c>
      <c r="Q31" s="7" t="n">
        <f aca="false">IFERROR(AH31/AI31,"")</f>
        <v>0.625592610756907</v>
      </c>
      <c r="V31" s="9" t="n">
        <v>1896.56</v>
      </c>
      <c r="W31" s="9" t="n">
        <v>1891.72</v>
      </c>
      <c r="X31" s="9" t="n">
        <v>1905</v>
      </c>
      <c r="Y31" s="9" t="n">
        <v>1802.95</v>
      </c>
      <c r="Z31" s="9" t="n">
        <v>1817.2</v>
      </c>
      <c r="AA31" s="10" t="n">
        <v>60481275</v>
      </c>
      <c r="AB31" s="10" t="n">
        <v>59047250</v>
      </c>
      <c r="AC31" s="10" t="n">
        <v>58083950</v>
      </c>
      <c r="AD31" s="10" t="n">
        <v>57385700</v>
      </c>
      <c r="AE31" s="10" t="n">
        <v>62213125</v>
      </c>
      <c r="AF31" s="10" t="n">
        <v>21434850</v>
      </c>
      <c r="AG31" s="10" t="n">
        <v>28466275</v>
      </c>
      <c r="AH31" s="10" t="n">
        <v>14541650</v>
      </c>
      <c r="AI31" s="10" t="n">
        <v>23244600</v>
      </c>
    </row>
    <row r="32" customFormat="false" ht="15" hidden="false" customHeight="false" outlineLevel="0" collapsed="false">
      <c r="A32" s="3" t="n">
        <v>29</v>
      </c>
      <c r="B32" s="4" t="s">
        <v>66</v>
      </c>
      <c r="C32" s="5" t="n">
        <v>2.53</v>
      </c>
      <c r="D32" s="6" t="n">
        <f aca="false">IFERROR(V32/W32-1,"")</f>
        <v>-0.0293088516848609</v>
      </c>
      <c r="E32" s="6" t="n">
        <f aca="false">IFERROR(AA32/AB32-1,"")</f>
        <v>0.0142328164776673</v>
      </c>
      <c r="F32" s="3" t="str">
        <f aca="false">IF(OR(D32="",E32=""),"n/a (new)",IF(D32&gt;=0,IF(E32&gt;=0,"Long Buildup","Short Covering"),IF(E32&gt;=0,"Short Buildup","Long Unwinding")))</f>
        <v>Short Buildup</v>
      </c>
      <c r="G32" s="6" t="n">
        <f aca="false">IFERROR(V32/X32-1,"")</f>
        <v>-0.00019199999999997</v>
      </c>
      <c r="H32" s="6" t="n">
        <f aca="false">IFERROR(AA32/AC32-1,"")</f>
        <v>-0.028970254251371</v>
      </c>
      <c r="I32" s="3" t="str">
        <f aca="false">IF(OR(G32="",H32=""),"n/a (new)",IF(G32&gt;=0,IF(H32&gt;=0,"Long Buildup","Short Covering"),IF(H32&gt;=0,"Short Buildup","Long Unwinding")))</f>
        <v>Long Unwinding</v>
      </c>
      <c r="J32" s="6" t="n">
        <f aca="false">IFERROR(V32/Y32-1,"")</f>
        <v>0.0851437006164799</v>
      </c>
      <c r="K32" s="6" t="n">
        <f aca="false">IFERROR(AA32/AD32-1,"")</f>
        <v>-0.151664730933024</v>
      </c>
      <c r="L32" s="3" t="str">
        <f aca="false">IF(OR(J32="",K32=""),"n/a (new)",IF(J32&gt;=0,IF(K32&gt;=0,"Long Buildup","Short Covering"),IF(K32&gt;=0,"Short Buildup","Long Unwinding")))</f>
        <v>Short Covering</v>
      </c>
      <c r="M32" s="6" t="n">
        <f aca="false">IFERROR(V32/Z32-1,"")</f>
        <v>0.103648036453872</v>
      </c>
      <c r="N32" s="6" t="n">
        <f aca="false">IFERROR(AA32/AE32-1,"")</f>
        <v>-0.1932811780948</v>
      </c>
      <c r="O32" s="3" t="str">
        <f aca="false">IF(OR(M32="",N32=""),"n/a (new)",IF(M32&gt;=0,IF(N32&gt;=0,"Long Buildup","Short Covering"),IF(N32&gt;=0,"Short Buildup","Long Unwinding")))</f>
        <v>Short Covering</v>
      </c>
      <c r="P32" s="7" t="n">
        <f aca="false">IFERROR(AF32/AG32,"")</f>
        <v>0.887301587301587</v>
      </c>
      <c r="Q32" s="7" t="n">
        <f aca="false">IFERROR(AH32/AI32,"")</f>
        <v>1.12167008196721</v>
      </c>
      <c r="V32" s="9" t="n">
        <v>2499.52</v>
      </c>
      <c r="W32" s="9" t="n">
        <v>2574.99</v>
      </c>
      <c r="X32" s="9" t="n">
        <v>2500</v>
      </c>
      <c r="Y32" s="9" t="n">
        <v>2303.4</v>
      </c>
      <c r="Z32" s="9" t="n">
        <v>2264.78</v>
      </c>
      <c r="AA32" s="10" t="n">
        <v>4820750</v>
      </c>
      <c r="AB32" s="10" t="n">
        <v>4753100</v>
      </c>
      <c r="AC32" s="10" t="n">
        <v>4964575</v>
      </c>
      <c r="AD32" s="10" t="n">
        <v>5682600</v>
      </c>
      <c r="AE32" s="10" t="n">
        <v>5975750</v>
      </c>
      <c r="AF32" s="10" t="n">
        <v>1383525</v>
      </c>
      <c r="AG32" s="10" t="n">
        <v>1559250</v>
      </c>
      <c r="AH32" s="10" t="n">
        <v>1204225</v>
      </c>
      <c r="AI32" s="10" t="n">
        <v>1073600</v>
      </c>
    </row>
    <row r="33" customFormat="false" ht="15" hidden="false" customHeight="false" outlineLevel="0" collapsed="false">
      <c r="A33" s="3" t="n">
        <v>30</v>
      </c>
      <c r="B33" s="4" t="s">
        <v>67</v>
      </c>
      <c r="C33" s="5" t="n">
        <v>2.36</v>
      </c>
      <c r="D33" s="6" t="n">
        <f aca="false">IFERROR(V33/W33-1,"")</f>
        <v>0.00638794660557718</v>
      </c>
      <c r="E33" s="6" t="n">
        <f aca="false">IFERROR(AA33/AB33-1,"")</f>
        <v>-0.00078193724953568</v>
      </c>
      <c r="F33" s="3" t="str">
        <f aca="false">IF(OR(D33="",E33=""),"n/a (new)",IF(D33&gt;=0,IF(E33&gt;=0,"Long Buildup","Short Covering"),IF(E33&gt;=0,"Short Buildup","Long Unwinding")))</f>
        <v>Short Covering</v>
      </c>
      <c r="G33" s="6" t="n">
        <f aca="false">IFERROR(V33/X33-1,"")</f>
        <v>0.0266966292134831</v>
      </c>
      <c r="H33" s="6" t="n">
        <f aca="false">IFERROR(AA33/AC33-1,"")</f>
        <v>-0.00573818323283404</v>
      </c>
      <c r="I33" s="3" t="str">
        <f aca="false">IF(OR(G33="",H33=""),"n/a (new)",IF(G33&gt;=0,IF(H33&gt;=0,"Long Buildup","Short Covering"),IF(H33&gt;=0,"Short Buildup","Long Unwinding")))</f>
        <v>Short Covering</v>
      </c>
      <c r="J33" s="6" t="n">
        <f aca="false">IFERROR(V33/Y33-1,"")</f>
        <v>0.0221029082774049</v>
      </c>
      <c r="K33" s="6" t="n">
        <f aca="false">IFERROR(AA33/AD33-1,"")</f>
        <v>0.037130972912651</v>
      </c>
      <c r="L33" s="3" t="str">
        <f aca="false">IF(OR(J33="",K33=""),"n/a (new)",IF(J33&gt;=0,IF(K33&gt;=0,"Long Buildup","Short Covering"),IF(K33&gt;=0,"Short Buildup","Long Unwinding")))</f>
        <v>Long Buildup</v>
      </c>
      <c r="M33" s="6" t="n">
        <f aca="false">IFERROR(V33/Z33-1,"")</f>
        <v>-0.0216702355460385</v>
      </c>
      <c r="N33" s="6" t="n">
        <f aca="false">IFERROR(AA33/AE33-1,"")</f>
        <v>0.0499127041183116</v>
      </c>
      <c r="O33" s="3" t="str">
        <f aca="false">IF(OR(M33="",N33=""),"n/a (new)",IF(M33&gt;=0,IF(N33&gt;=0,"Long Buildup","Short Covering"),IF(N33&gt;=0,"Short Buildup","Long Unwinding")))</f>
        <v>Short Buildup</v>
      </c>
      <c r="P33" s="7" t="n">
        <f aca="false">IFERROR(AF33/AG33,"")</f>
        <v>0.579382994732882</v>
      </c>
      <c r="Q33" s="7" t="n">
        <f aca="false">IFERROR(AH33/AI33,"")</f>
        <v>0.744897959183674</v>
      </c>
      <c r="V33" s="9" t="n">
        <v>456.88</v>
      </c>
      <c r="W33" s="9" t="n">
        <v>453.98</v>
      </c>
      <c r="X33" s="9" t="n">
        <v>445</v>
      </c>
      <c r="Y33" s="9" t="n">
        <v>447</v>
      </c>
      <c r="Z33" s="9" t="n">
        <v>467</v>
      </c>
      <c r="AA33" s="10" t="n">
        <v>14312200</v>
      </c>
      <c r="AB33" s="10" t="n">
        <v>14323400</v>
      </c>
      <c r="AC33" s="10" t="n">
        <v>14394800</v>
      </c>
      <c r="AD33" s="10" t="n">
        <v>13799800</v>
      </c>
      <c r="AE33" s="10" t="n">
        <v>13631800</v>
      </c>
      <c r="AF33" s="10" t="n">
        <v>2156000</v>
      </c>
      <c r="AG33" s="10" t="n">
        <v>3721200</v>
      </c>
      <c r="AH33" s="10" t="n">
        <v>2248400</v>
      </c>
      <c r="AI33" s="10" t="n">
        <v>3018400</v>
      </c>
    </row>
    <row r="34" customFormat="false" ht="15" hidden="false" customHeight="false" outlineLevel="0" collapsed="false">
      <c r="A34" s="3" t="n">
        <v>31</v>
      </c>
      <c r="B34" s="4" t="s">
        <v>68</v>
      </c>
      <c r="C34" s="5" t="n">
        <v>2.18</v>
      </c>
      <c r="D34" s="6" t="n">
        <f aca="false">IFERROR(V34/W34-1,"")</f>
        <v>0.00814115031953322</v>
      </c>
      <c r="E34" s="6" t="n">
        <f aca="false">IFERROR(AA34/AB34-1,"")</f>
        <v>-0.0162878545361419</v>
      </c>
      <c r="F34" s="3" t="str">
        <f aca="false">IF(OR(D34="",E34=""),"n/a (new)",IF(D34&gt;=0,IF(E34&gt;=0,"Long Buildup","Short Covering"),IF(E34&gt;=0,"Short Buildup","Long Unwinding")))</f>
        <v>Short Covering</v>
      </c>
      <c r="G34" s="6" t="n">
        <f aca="false">IFERROR(V34/X34-1,"")</f>
        <v>0.00738540133825683</v>
      </c>
      <c r="H34" s="6" t="n">
        <f aca="false">IFERROR(AA34/AC34-1,"")</f>
        <v>-0.019414377616665</v>
      </c>
      <c r="I34" s="3" t="str">
        <f aca="false">IF(OR(G34="",H34=""),"n/a (new)",IF(G34&gt;=0,IF(H34&gt;=0,"Long Buildup","Short Covering"),IF(H34&gt;=0,"Short Buildup","Long Unwinding")))</f>
        <v>Short Covering</v>
      </c>
      <c r="J34" s="6" t="n">
        <f aca="false">IFERROR(V34/Y34-1,"")</f>
        <v>0.0638927984987097</v>
      </c>
      <c r="K34" s="6" t="n">
        <f aca="false">IFERROR(AA34/AD34-1,"")</f>
        <v>-0.0372333759430533</v>
      </c>
      <c r="L34" s="3" t="str">
        <f aca="false">IF(OR(J34="",K34=""),"n/a (new)",IF(J34&gt;=0,IF(K34&gt;=0,"Long Buildup","Short Covering"),IF(K34&gt;=0,"Short Buildup","Long Unwinding")))</f>
        <v>Short Covering</v>
      </c>
      <c r="M34" s="6" t="n">
        <f aca="false">IFERROR(V34/Z34-1,"")</f>
        <v>-0.0621882188735816</v>
      </c>
      <c r="N34" s="6" t="n">
        <f aca="false">IFERROR(AA34/AE34-1,"")</f>
        <v>-0.071894556261628</v>
      </c>
      <c r="O34" s="3" t="str">
        <f aca="false">IF(OR(M34="",N34=""),"n/a (new)",IF(M34&gt;=0,IF(N34&gt;=0,"Long Buildup","Short Covering"),IF(N34&gt;=0,"Short Buildup","Long Unwinding")))</f>
        <v>Long Unwinding</v>
      </c>
      <c r="P34" s="7" t="n">
        <f aca="false">IFERROR(AF34/AG34,"")</f>
        <v>0.759667414544015</v>
      </c>
      <c r="Q34" s="7" t="n">
        <f aca="false">IFERROR(AH34/AI34,"")</f>
        <v>0.728033966269607</v>
      </c>
      <c r="V34" s="9" t="n">
        <v>362.83</v>
      </c>
      <c r="W34" s="9" t="n">
        <v>359.9</v>
      </c>
      <c r="X34" s="9" t="n">
        <v>360.17</v>
      </c>
      <c r="Y34" s="9" t="n">
        <v>341.04</v>
      </c>
      <c r="Z34" s="9" t="n">
        <v>386.89</v>
      </c>
      <c r="AA34" s="10" t="n">
        <v>92187600</v>
      </c>
      <c r="AB34" s="10" t="n">
        <v>93714000</v>
      </c>
      <c r="AC34" s="10" t="n">
        <v>94012800</v>
      </c>
      <c r="AD34" s="10" t="n">
        <v>95752800</v>
      </c>
      <c r="AE34" s="10" t="n">
        <v>99328800</v>
      </c>
      <c r="AF34" s="10" t="n">
        <v>6907200</v>
      </c>
      <c r="AG34" s="10" t="n">
        <v>9092400</v>
      </c>
      <c r="AH34" s="10" t="n">
        <v>7407600</v>
      </c>
      <c r="AI34" s="10" t="n">
        <v>10174800</v>
      </c>
    </row>
    <row r="35" customFormat="false" ht="15" hidden="false" customHeight="false" outlineLevel="0" collapsed="false">
      <c r="A35" s="3" t="n">
        <v>32</v>
      </c>
      <c r="B35" s="4" t="s">
        <v>69</v>
      </c>
      <c r="C35" s="5" t="n">
        <v>2.13</v>
      </c>
      <c r="D35" s="6" t="n">
        <f aca="false">IFERROR(V35/W35-1,"")</f>
        <v>0.0405008736535784</v>
      </c>
      <c r="E35" s="6" t="n">
        <f aca="false">IFERROR(AA35/AB35-1,"")</f>
        <v>-0.12544000954597</v>
      </c>
      <c r="F35" s="3" t="str">
        <f aca="false">IF(OR(D35="",E35=""),"n/a (new)",IF(D35&gt;=0,IF(E35&gt;=0,"Long Buildup","Short Covering"),IF(E35&gt;=0,"Short Buildup","Long Unwinding")))</f>
        <v>Short Covering</v>
      </c>
      <c r="G35" s="6" t="n">
        <f aca="false">IFERROR(V35/X35-1,"")</f>
        <v>0.00441043253349771</v>
      </c>
      <c r="H35" s="6" t="n">
        <f aca="false">IFERROR(AA35/AC35-1,"")</f>
        <v>-0.113459735704134</v>
      </c>
      <c r="I35" s="3" t="str">
        <f aca="false">IF(OR(G35="",H35=""),"n/a (new)",IF(G35&gt;=0,IF(H35&gt;=0,"Long Buildup","Short Covering"),IF(H35&gt;=0,"Short Buildup","Long Unwinding")))</f>
        <v>Short Covering</v>
      </c>
      <c r="J35" s="6" t="n">
        <f aca="false">IFERROR(V35/Y35-1,"")</f>
        <v>0.0184543728234849</v>
      </c>
      <c r="K35" s="6" t="n">
        <f aca="false">IFERROR(AA35/AD35-1,"")</f>
        <v>-0.0547477027244881</v>
      </c>
      <c r="L35" s="3" t="str">
        <f aca="false">IF(OR(J35="",K35=""),"n/a (new)",IF(J35&gt;=0,IF(K35&gt;=0,"Long Buildup","Short Covering"),IF(K35&gt;=0,"Short Buildup","Long Unwinding")))</f>
        <v>Short Covering</v>
      </c>
      <c r="M35" s="6" t="n">
        <f aca="false">IFERROR(V35/Z35-1,"")</f>
        <v>-0.0469844301672744</v>
      </c>
      <c r="N35" s="6" t="n">
        <f aca="false">IFERROR(AA35/AE35-1,"")</f>
        <v>-0.258304450122701</v>
      </c>
      <c r="O35" s="3" t="str">
        <f aca="false">IF(OR(M35="",N35=""),"n/a (new)",IF(M35&gt;=0,IF(N35&gt;=0,"Long Buildup","Short Covering"),IF(N35&gt;=0,"Short Buildup","Long Unwinding")))</f>
        <v>Long Unwinding</v>
      </c>
      <c r="P35" s="7" t="n">
        <f aca="false">IFERROR(AF35/AG35,"")</f>
        <v>0.913932146829811</v>
      </c>
      <c r="Q35" s="7" t="n">
        <f aca="false">IFERROR(AH35/AI35,"")</f>
        <v>0.778357854769815</v>
      </c>
      <c r="V35" s="9" t="n">
        <v>3293.05</v>
      </c>
      <c r="W35" s="9" t="n">
        <v>3164.87</v>
      </c>
      <c r="X35" s="9" t="n">
        <v>3278.59</v>
      </c>
      <c r="Y35" s="9" t="n">
        <v>3233.38</v>
      </c>
      <c r="Z35" s="9" t="n">
        <v>3455.4</v>
      </c>
      <c r="AA35" s="10" t="n">
        <v>4397550</v>
      </c>
      <c r="AB35" s="10" t="n">
        <v>5028300</v>
      </c>
      <c r="AC35" s="10" t="n">
        <v>4960350</v>
      </c>
      <c r="AD35" s="10" t="n">
        <v>4652250</v>
      </c>
      <c r="AE35" s="10" t="n">
        <v>5929050</v>
      </c>
      <c r="AF35" s="10" t="n">
        <v>985950</v>
      </c>
      <c r="AG35" s="10" t="n">
        <v>1078800</v>
      </c>
      <c r="AH35" s="10" t="n">
        <v>984000</v>
      </c>
      <c r="AI35" s="10" t="n">
        <v>1264200</v>
      </c>
    </row>
    <row r="36" customFormat="false" ht="15" hidden="false" customHeight="false" outlineLevel="0" collapsed="false">
      <c r="A36" s="3" t="n">
        <v>33</v>
      </c>
      <c r="B36" s="4" t="s">
        <v>70</v>
      </c>
      <c r="C36" s="5" t="n">
        <v>2.09</v>
      </c>
      <c r="D36" s="6" t="n">
        <f aca="false">IFERROR(V36/W36-1,"")</f>
        <v>-0.00357929515418509</v>
      </c>
      <c r="E36" s="6" t="n">
        <f aca="false">IFERROR(AA36/AB36-1,"")</f>
        <v>-0.00119294605809128</v>
      </c>
      <c r="F36" s="3" t="str">
        <f aca="false">IF(OR(D36="",E36=""),"n/a (new)",IF(D36&gt;=0,IF(E36&gt;=0,"Long Buildup","Short Covering"),IF(E36&gt;=0,"Short Buildup","Long Unwinding")))</f>
        <v>Long Unwinding</v>
      </c>
      <c r="G36" s="6" t="n">
        <f aca="false">IFERROR(V36/X36-1,"")</f>
        <v>0.013157894736842</v>
      </c>
      <c r="H36" s="6" t="n">
        <f aca="false">IFERROR(AA36/AC36-1,"")</f>
        <v>-0.00614161849710981</v>
      </c>
      <c r="I36" s="3" t="str">
        <f aca="false">IF(OR(G36="",H36=""),"n/a (new)",IF(G36&gt;=0,IF(H36&gt;=0,"Long Buildup","Short Covering"),IF(H36&gt;=0,"Short Buildup","Long Unwinding")))</f>
        <v>Short Covering</v>
      </c>
      <c r="J36" s="6" t="n">
        <f aca="false">IFERROR(V36/Y36-1,"")</f>
        <v>0.0110350607626761</v>
      </c>
      <c r="K36" s="6" t="n">
        <f aca="false">IFERROR(AA36/AD36-1,"")</f>
        <v>0.0559881552972144</v>
      </c>
      <c r="L36" s="3" t="str">
        <f aca="false">IF(OR(J36="",K36=""),"n/a (new)",IF(J36&gt;=0,IF(K36&gt;=0,"Long Buildup","Short Covering"),IF(K36&gt;=0,"Short Buildup","Long Unwinding")))</f>
        <v>Long Buildup</v>
      </c>
      <c r="M36" s="6" t="n">
        <f aca="false">IFERROR(V36/Z36-1,"")</f>
        <v>-0.0477568740955139</v>
      </c>
      <c r="N36" s="6" t="n">
        <f aca="false">IFERROR(AA36/AE36-1,"")</f>
        <v>-0.0879943168363723</v>
      </c>
      <c r="O36" s="3" t="str">
        <f aca="false">IF(OR(M36="",N36=""),"n/a (new)",IF(M36&gt;=0,IF(N36&gt;=0,"Long Buildup","Short Covering"),IF(N36&gt;=0,"Short Buildup","Long Unwinding")))</f>
        <v>Long Unwinding</v>
      </c>
      <c r="P36" s="7" t="n">
        <f aca="false">IFERROR(AF36/AG36,"")</f>
        <v>0.663595413595414</v>
      </c>
      <c r="Q36" s="7" t="n">
        <f aca="false">IFERROR(AH36/AI36,"")</f>
        <v>0.633301481127568</v>
      </c>
      <c r="V36" s="9" t="n">
        <v>72.38</v>
      </c>
      <c r="W36" s="9" t="n">
        <v>72.64</v>
      </c>
      <c r="X36" s="9" t="n">
        <v>71.44</v>
      </c>
      <c r="Y36" s="9" t="n">
        <v>71.59</v>
      </c>
      <c r="Z36" s="9" t="n">
        <v>76.01</v>
      </c>
      <c r="AA36" s="10" t="n">
        <v>133836150</v>
      </c>
      <c r="AB36" s="10" t="n">
        <v>133996000</v>
      </c>
      <c r="AC36" s="10" t="n">
        <v>134663200</v>
      </c>
      <c r="AD36" s="10" t="n">
        <v>126740200</v>
      </c>
      <c r="AE36" s="10" t="n">
        <v>146749250</v>
      </c>
      <c r="AF36" s="10" t="n">
        <v>22524950</v>
      </c>
      <c r="AG36" s="10" t="n">
        <v>33943800</v>
      </c>
      <c r="AH36" s="10" t="n">
        <v>18424450</v>
      </c>
      <c r="AI36" s="10" t="n">
        <v>29092700</v>
      </c>
    </row>
    <row r="37" customFormat="false" ht="15" hidden="false" customHeight="false" outlineLevel="0" collapsed="false">
      <c r="A37" s="3" t="n">
        <v>34</v>
      </c>
      <c r="B37" s="4" t="s">
        <v>71</v>
      </c>
      <c r="C37" s="5" t="n">
        <v>2.02</v>
      </c>
      <c r="D37" s="6" t="n">
        <f aca="false">IFERROR(V37/W37-1,"")</f>
        <v>0.00425184782340016</v>
      </c>
      <c r="E37" s="6" t="n">
        <f aca="false">IFERROR(AA37/AB37-1,"")</f>
        <v>-0.0163286206013712</v>
      </c>
      <c r="F37" s="3" t="str">
        <f aca="false">IF(OR(D37="",E37=""),"n/a (new)",IF(D37&gt;=0,IF(E37&gt;=0,"Long Buildup","Short Covering"),IF(E37&gt;=0,"Short Buildup","Long Unwinding")))</f>
        <v>Short Covering</v>
      </c>
      <c r="G37" s="6" t="n">
        <f aca="false">IFERROR(V37/X37-1,"")</f>
        <v>-0.0226857197844496</v>
      </c>
      <c r="H37" s="6" t="n">
        <f aca="false">IFERROR(AA37/AC37-1,"")</f>
        <v>-0.0243221128072006</v>
      </c>
      <c r="I37" s="3" t="str">
        <f aca="false">IF(OR(G37="",H37=""),"n/a (new)",IF(G37&gt;=0,IF(H37&gt;=0,"Long Buildup","Short Covering"),IF(H37&gt;=0,"Short Buildup","Long Unwinding")))</f>
        <v>Long Unwinding</v>
      </c>
      <c r="J37" s="6" t="n">
        <f aca="false">IFERROR(V37/Y37-1,"")</f>
        <v>0.0489736196583037</v>
      </c>
      <c r="K37" s="6" t="n">
        <f aca="false">IFERROR(AA37/AD37-1,"")</f>
        <v>-0.0523705124691697</v>
      </c>
      <c r="L37" s="3" t="str">
        <f aca="false">IF(OR(J37="",K37=""),"n/a (new)",IF(J37&gt;=0,IF(K37&gt;=0,"Long Buildup","Short Covering"),IF(K37&gt;=0,"Short Buildup","Long Unwinding")))</f>
        <v>Short Covering</v>
      </c>
      <c r="M37" s="6" t="n">
        <f aca="false">IFERROR(V37/Z37-1,"")</f>
        <v>0.0156652034143017</v>
      </c>
      <c r="N37" s="6" t="n">
        <f aca="false">IFERROR(AA37/AE37-1,"")</f>
        <v>-0.113654422884679</v>
      </c>
      <c r="O37" s="3" t="str">
        <f aca="false">IF(OR(M37="",N37=""),"n/a (new)",IF(M37&gt;=0,IF(N37&gt;=0,"Long Buildup","Short Covering"),IF(N37&gt;=0,"Short Buildup","Long Unwinding")))</f>
        <v>Short Covering</v>
      </c>
      <c r="P37" s="7" t="n">
        <f aca="false">IFERROR(AF37/AG37,"")</f>
        <v>0.797139059434141</v>
      </c>
      <c r="Q37" s="7" t="n">
        <f aca="false">IFERROR(AH37/AI37,"")</f>
        <v>0.806075644785322</v>
      </c>
      <c r="V37" s="9" t="n">
        <v>4875</v>
      </c>
      <c r="W37" s="9" t="n">
        <v>4854.36</v>
      </c>
      <c r="X37" s="9" t="n">
        <v>4988.16</v>
      </c>
      <c r="Y37" s="9" t="n">
        <v>4647.4</v>
      </c>
      <c r="Z37" s="9" t="n">
        <v>4799.81</v>
      </c>
      <c r="AA37" s="10" t="n">
        <v>5186850</v>
      </c>
      <c r="AB37" s="10" t="n">
        <v>5272950</v>
      </c>
      <c r="AC37" s="10" t="n">
        <v>5316150</v>
      </c>
      <c r="AD37" s="10" t="n">
        <v>5473500</v>
      </c>
      <c r="AE37" s="10" t="n">
        <v>5851950</v>
      </c>
      <c r="AF37" s="10" t="n">
        <v>1889100</v>
      </c>
      <c r="AG37" s="10" t="n">
        <v>2369850</v>
      </c>
      <c r="AH37" s="10" t="n">
        <v>1608000</v>
      </c>
      <c r="AI37" s="10" t="n">
        <v>1994850</v>
      </c>
    </row>
    <row r="38" customFormat="false" ht="15" hidden="false" customHeight="false" outlineLevel="0" collapsed="false">
      <c r="A38" s="3" t="n">
        <v>35</v>
      </c>
      <c r="B38" s="4" t="s">
        <v>72</v>
      </c>
      <c r="C38" s="5" t="n">
        <v>1.73</v>
      </c>
      <c r="D38" s="6" t="n">
        <f aca="false">IFERROR(V38/W38-1,"")</f>
        <v>0.0104930175140805</v>
      </c>
      <c r="E38" s="6" t="n">
        <f aca="false">IFERROR(AA38/AB38-1,"")</f>
        <v>-0.00657486211053071</v>
      </c>
      <c r="F38" s="3" t="str">
        <f aca="false">IF(OR(D38="",E38=""),"n/a (new)",IF(D38&gt;=0,IF(E38&gt;=0,"Long Buildup","Short Covering"),IF(E38&gt;=0,"Short Buildup","Long Unwinding")))</f>
        <v>Short Covering</v>
      </c>
      <c r="G38" s="6" t="n">
        <f aca="false">IFERROR(V38/X38-1,"")</f>
        <v>0.00452523393158466</v>
      </c>
      <c r="H38" s="6" t="n">
        <f aca="false">IFERROR(AA38/AC38-1,"")</f>
        <v>-0.0139583786527445</v>
      </c>
      <c r="I38" s="3" t="str">
        <f aca="false">IF(OR(G38="",H38=""),"n/a (new)",IF(G38&gt;=0,IF(H38&gt;=0,"Long Buildup","Short Covering"),IF(H38&gt;=0,"Short Buildup","Long Unwinding")))</f>
        <v>Short Covering</v>
      </c>
      <c r="J38" s="6" t="n">
        <f aca="false">IFERROR(V38/Y38-1,"")</f>
        <v>0.0373861386138614</v>
      </c>
      <c r="K38" s="6" t="n">
        <f aca="false">IFERROR(AA38/AD38-1,"")</f>
        <v>-0.0276367536646407</v>
      </c>
      <c r="L38" s="3" t="str">
        <f aca="false">IF(OR(J38="",K38=""),"n/a (new)",IF(J38&gt;=0,IF(K38&gt;=0,"Long Buildup","Short Covering"),IF(K38&gt;=0,"Short Buildup","Long Unwinding")))</f>
        <v>Short Covering</v>
      </c>
      <c r="M38" s="6" t="n">
        <f aca="false">IFERROR(V38/Z38-1,"")</f>
        <v>-0.0495645863570393</v>
      </c>
      <c r="N38" s="6" t="n">
        <f aca="false">IFERROR(AA38/AE38-1,"")</f>
        <v>-0.104802343569994</v>
      </c>
      <c r="O38" s="3" t="str">
        <f aca="false">IF(OR(M38="",N38=""),"n/a (new)",IF(M38&gt;=0,IF(N38&gt;=0,"Long Buildup","Short Covering"),IF(N38&gt;=0,"Short Buildup","Long Unwinding")))</f>
        <v>Long Unwinding</v>
      </c>
      <c r="P38" s="7" t="n">
        <f aca="false">IFERROR(AF38/AG38,"")</f>
        <v>0.955144808099835</v>
      </c>
      <c r="Q38" s="7" t="n">
        <f aca="false">IFERROR(AH38/AI38,"")</f>
        <v>0.664916086311223</v>
      </c>
      <c r="V38" s="9" t="n">
        <v>130.97</v>
      </c>
      <c r="W38" s="9" t="n">
        <v>129.61</v>
      </c>
      <c r="X38" s="9" t="n">
        <v>130.38</v>
      </c>
      <c r="Y38" s="9" t="n">
        <v>126.25</v>
      </c>
      <c r="Z38" s="9" t="n">
        <v>137.8</v>
      </c>
      <c r="AA38" s="10" t="n">
        <v>132585375</v>
      </c>
      <c r="AB38" s="10" t="n">
        <v>133462875</v>
      </c>
      <c r="AC38" s="10" t="n">
        <v>134462250</v>
      </c>
      <c r="AD38" s="10" t="n">
        <v>136353750</v>
      </c>
      <c r="AE38" s="10" t="n">
        <v>148107375</v>
      </c>
      <c r="AF38" s="10" t="n">
        <v>39550875</v>
      </c>
      <c r="AG38" s="10" t="n">
        <v>41408250</v>
      </c>
      <c r="AH38" s="10" t="n">
        <v>28392000</v>
      </c>
      <c r="AI38" s="10" t="n">
        <v>42700125</v>
      </c>
    </row>
    <row r="39" customFormat="false" ht="15" hidden="false" customHeight="false" outlineLevel="0" collapsed="false">
      <c r="A39" s="3" t="n">
        <v>36</v>
      </c>
      <c r="B39" s="4" t="s">
        <v>73</v>
      </c>
      <c r="C39" s="5" t="n">
        <v>1.56</v>
      </c>
      <c r="D39" s="6" t="n">
        <f aca="false">IFERROR(V39/W39-1,"")</f>
        <v>-0.0133294697189221</v>
      </c>
      <c r="E39" s="6" t="n">
        <f aca="false">IFERROR(AA39/AB39-1,"")</f>
        <v>-0.0238175962027463</v>
      </c>
      <c r="F39" s="3" t="str">
        <f aca="false">IF(OR(D39="",E39=""),"n/a (new)",IF(D39&gt;=0,IF(E39&gt;=0,"Long Buildup","Short Covering"),IF(E39&gt;=0,"Short Buildup","Long Unwinding")))</f>
        <v>Long Unwinding</v>
      </c>
      <c r="G39" s="6" t="n">
        <f aca="false">IFERROR(V39/X39-1,"")</f>
        <v>0.0290117860380779</v>
      </c>
      <c r="H39" s="6" t="n">
        <f aca="false">IFERROR(AA39/AC39-1,"")</f>
        <v>-0.0965641669281456</v>
      </c>
      <c r="I39" s="3" t="str">
        <f aca="false">IF(OR(G39="",H39=""),"n/a (new)",IF(G39&gt;=0,IF(H39&gt;=0,"Long Buildup","Short Covering"),IF(H39&gt;=0,"Short Buildup","Long Unwinding")))</f>
        <v>Short Covering</v>
      </c>
      <c r="J39" s="6" t="n">
        <f aca="false">IFERROR(V39/Y39-1,"")</f>
        <v>0.0297119528237695</v>
      </c>
      <c r="K39" s="6" t="n">
        <f aca="false">IFERROR(AA39/AD39-1,"")</f>
        <v>-0.129083484573503</v>
      </c>
      <c r="L39" s="3" t="str">
        <f aca="false">IF(OR(J39="",K39=""),"n/a (new)",IF(J39&gt;=0,IF(K39&gt;=0,"Long Buildup","Short Covering"),IF(K39&gt;=0,"Short Buildup","Long Unwinding")))</f>
        <v>Short Covering</v>
      </c>
      <c r="M39" s="6" t="n">
        <f aca="false">IFERROR(V39/Z39-1,"")</f>
        <v>-0.00591197722793957</v>
      </c>
      <c r="N39" s="6" t="n">
        <f aca="false">IFERROR(AA39/AE39-1,"")</f>
        <v>-0.270660502818061</v>
      </c>
      <c r="O39" s="3" t="str">
        <f aca="false">IF(OR(M39="",N39=""),"n/a (new)",IF(M39&gt;=0,IF(N39&gt;=0,"Long Buildup","Short Covering"),IF(N39&gt;=0,"Short Buildup","Long Unwinding")))</f>
        <v>Long Unwinding</v>
      </c>
      <c r="P39" s="7" t="n">
        <f aca="false">IFERROR(AF39/AG39,"")</f>
        <v>0.882923191648024</v>
      </c>
      <c r="Q39" s="7" t="n">
        <f aca="false">IFERROR(AH39/AI39,"")</f>
        <v>0.759327377824488</v>
      </c>
      <c r="V39" s="9" t="n">
        <v>136.2</v>
      </c>
      <c r="W39" s="9" t="n">
        <v>138.04</v>
      </c>
      <c r="X39" s="9" t="n">
        <v>132.36</v>
      </c>
      <c r="Y39" s="9" t="n">
        <v>132.27</v>
      </c>
      <c r="Z39" s="9" t="n">
        <v>137.01</v>
      </c>
      <c r="AA39" s="10" t="n">
        <v>59888400</v>
      </c>
      <c r="AB39" s="10" t="n">
        <v>61349600</v>
      </c>
      <c r="AC39" s="10" t="n">
        <v>66289600</v>
      </c>
      <c r="AD39" s="10" t="n">
        <v>68764800</v>
      </c>
      <c r="AE39" s="10" t="n">
        <v>82113200</v>
      </c>
      <c r="AF39" s="10" t="n">
        <v>24627200</v>
      </c>
      <c r="AG39" s="10" t="n">
        <v>27892800</v>
      </c>
      <c r="AH39" s="10" t="n">
        <v>22542000</v>
      </c>
      <c r="AI39" s="10" t="n">
        <v>29686800</v>
      </c>
    </row>
    <row r="40" customFormat="false" ht="15" hidden="false" customHeight="false" outlineLevel="0" collapsed="false">
      <c r="A40" s="3" t="n">
        <v>37</v>
      </c>
      <c r="B40" s="4" t="s">
        <v>74</v>
      </c>
      <c r="C40" s="5" t="n">
        <v>1.55</v>
      </c>
      <c r="D40" s="6" t="n">
        <f aca="false">IFERROR(V40/W40-1,"")</f>
        <v>-0.000480711765225572</v>
      </c>
      <c r="E40" s="6" t="n">
        <f aca="false">IFERROR(AA40/AB40-1,"")</f>
        <v>0.0123960289777301</v>
      </c>
      <c r="F40" s="3" t="str">
        <f aca="false">IF(OR(D40="",E40=""),"n/a (new)",IF(D40&gt;=0,IF(E40&gt;=0,"Long Buildup","Short Covering"),IF(E40&gt;=0,"Short Buildup","Long Unwinding")))</f>
        <v>Short Buildup</v>
      </c>
      <c r="G40" s="6" t="n">
        <f aca="false">IFERROR(V40/X40-1,"")</f>
        <v>-0.000890899834806835</v>
      </c>
      <c r="H40" s="6" t="n">
        <f aca="false">IFERROR(AA40/AC40-1,"")</f>
        <v>0.0747407998177054</v>
      </c>
      <c r="I40" s="3" t="str">
        <f aca="false">IF(OR(G40="",H40=""),"n/a (new)",IF(G40&gt;=0,IF(H40&gt;=0,"Long Buildup","Short Covering"),IF(H40&gt;=0,"Short Buildup","Long Unwinding")))</f>
        <v>Short Buildup</v>
      </c>
      <c r="J40" s="6" t="n">
        <f aca="false">IFERROR(V40/Y40-1,"")</f>
        <v>0.283842372095041</v>
      </c>
      <c r="K40" s="6" t="n">
        <f aca="false">IFERROR(AA40/AD40-1,"")</f>
        <v>-0.0916706788637458</v>
      </c>
      <c r="L40" s="3" t="str">
        <f aca="false">IF(OR(J40="",K40=""),"n/a (new)",IF(J40&gt;=0,IF(K40&gt;=0,"Long Buildup","Short Covering"),IF(K40&gt;=0,"Short Buildup","Long Unwinding")))</f>
        <v>Short Covering</v>
      </c>
      <c r="M40" s="6" t="n">
        <f aca="false">IFERROR(V40/Z40-1,"")</f>
        <v>0.194599378881988</v>
      </c>
      <c r="N40" s="6" t="n">
        <f aca="false">IFERROR(AA40/AE40-1,"")</f>
        <v>-0.0716464914870584</v>
      </c>
      <c r="O40" s="3" t="str">
        <f aca="false">IF(OR(M40="",N40=""),"n/a (new)",IF(M40&gt;=0,IF(N40&gt;=0,"Long Buildup","Short Covering"),IF(N40&gt;=0,"Short Buildup","Long Unwinding")))</f>
        <v>Short Covering</v>
      </c>
      <c r="P40" s="7" t="n">
        <f aca="false">IFERROR(AF40/AG40,"")</f>
        <v>1.03817985352383</v>
      </c>
      <c r="Q40" s="7" t="n">
        <f aca="false">IFERROR(AH40/AI40,"")</f>
        <v>0.565756421683818</v>
      </c>
      <c r="V40" s="9" t="n">
        <v>3846.61</v>
      </c>
      <c r="W40" s="9" t="n">
        <v>3848.46</v>
      </c>
      <c r="X40" s="9" t="n">
        <v>3850.04</v>
      </c>
      <c r="Y40" s="9" t="n">
        <v>2996.17</v>
      </c>
      <c r="Z40" s="9" t="n">
        <v>3220</v>
      </c>
      <c r="AA40" s="10" t="n">
        <v>2358250</v>
      </c>
      <c r="AB40" s="10" t="n">
        <v>2329375</v>
      </c>
      <c r="AC40" s="10" t="n">
        <v>2194250</v>
      </c>
      <c r="AD40" s="10" t="n">
        <v>2596250</v>
      </c>
      <c r="AE40" s="10" t="n">
        <v>2540250</v>
      </c>
      <c r="AF40" s="10" t="n">
        <v>2161750</v>
      </c>
      <c r="AG40" s="10" t="n">
        <v>2082250</v>
      </c>
      <c r="AH40" s="10" t="n">
        <v>872750</v>
      </c>
      <c r="AI40" s="10" t="n">
        <v>1542625</v>
      </c>
    </row>
    <row r="41" customFormat="false" ht="15" hidden="false" customHeight="false" outlineLevel="0" collapsed="false">
      <c r="A41" s="3" t="n">
        <v>38</v>
      </c>
      <c r="B41" s="4" t="s">
        <v>75</v>
      </c>
      <c r="C41" s="5" t="n">
        <v>1.27</v>
      </c>
      <c r="D41" s="6" t="n">
        <f aca="false">IFERROR(V41/W41-1,"")</f>
        <v>-0.0216041947504114</v>
      </c>
      <c r="E41" s="6" t="n">
        <f aca="false">IFERROR(AA41/AB41-1,"")</f>
        <v>-0.0430910051047351</v>
      </c>
      <c r="F41" s="3" t="str">
        <f aca="false">IF(OR(D41="",E41=""),"n/a (new)",IF(D41&gt;=0,IF(E41&gt;=0,"Long Buildup","Short Covering"),IF(E41&gt;=0,"Short Buildup","Long Unwinding")))</f>
        <v>Long Unwinding</v>
      </c>
      <c r="G41" s="6" t="n">
        <f aca="false">IFERROR(V41/X41-1,"")</f>
        <v>-0.022035278988867</v>
      </c>
      <c r="H41" s="6" t="n">
        <f aca="false">IFERROR(AA41/AC41-1,"")</f>
        <v>-0.0551326172350263</v>
      </c>
      <c r="I41" s="3" t="str">
        <f aca="false">IF(OR(G41="",H41=""),"n/a (new)",IF(G41&gt;=0,IF(H41&gt;=0,"Long Buildup","Short Covering"),IF(H41&gt;=0,"Short Buildup","Long Unwinding")))</f>
        <v>Long Unwinding</v>
      </c>
      <c r="J41" s="6" t="n">
        <f aca="false">IFERROR(V41/Y41-1,"")</f>
        <v>0.0520960790149585</v>
      </c>
      <c r="K41" s="6" t="n">
        <f aca="false">IFERROR(AA41/AD41-1,"")</f>
        <v>-0.0509758737474251</v>
      </c>
      <c r="L41" s="3" t="str">
        <f aca="false">IF(OR(J41="",K41=""),"n/a (new)",IF(J41&gt;=0,IF(K41&gt;=0,"Long Buildup","Short Covering"),IF(K41&gt;=0,"Short Buildup","Long Unwinding")))</f>
        <v>Short Covering</v>
      </c>
      <c r="M41" s="6" t="n">
        <f aca="false">IFERROR(V41/Z41-1,"")</f>
        <v>0.0587132556849694</v>
      </c>
      <c r="N41" s="6" t="n">
        <f aca="false">IFERROR(AA41/AE41-1,"")</f>
        <v>-0.174331713244228</v>
      </c>
      <c r="O41" s="3" t="str">
        <f aca="false">IF(OR(M41="",N41=""),"n/a (new)",IF(M41&gt;=0,IF(N41&gt;=0,"Long Buildup","Short Covering"),IF(N41&gt;=0,"Short Buildup","Long Unwinding")))</f>
        <v>Short Covering</v>
      </c>
      <c r="P41" s="7" t="n">
        <f aca="false">IFERROR(AF41/AG41,"")</f>
        <v>0.709885204081633</v>
      </c>
      <c r="Q41" s="7" t="n">
        <f aca="false">IFERROR(AH41/AI41,"")</f>
        <v>0.663885676524038</v>
      </c>
      <c r="V41" s="9" t="n">
        <v>1908.86</v>
      </c>
      <c r="W41" s="9" t="n">
        <v>1951.01</v>
      </c>
      <c r="X41" s="9" t="n">
        <v>1951.87</v>
      </c>
      <c r="Y41" s="9" t="n">
        <v>1814.34</v>
      </c>
      <c r="Z41" s="9" t="n">
        <v>1803</v>
      </c>
      <c r="AA41" s="10" t="n">
        <v>12910975</v>
      </c>
      <c r="AB41" s="10" t="n">
        <v>13492375</v>
      </c>
      <c r="AC41" s="10" t="n">
        <v>13664325</v>
      </c>
      <c r="AD41" s="10" t="n">
        <v>13604475</v>
      </c>
      <c r="AE41" s="10" t="n">
        <v>15637000</v>
      </c>
      <c r="AF41" s="10" t="n">
        <v>5287225</v>
      </c>
      <c r="AG41" s="10" t="n">
        <v>7448000</v>
      </c>
      <c r="AH41" s="10" t="n">
        <v>3817575</v>
      </c>
      <c r="AI41" s="10" t="n">
        <v>5750350</v>
      </c>
    </row>
    <row r="42" customFormat="false" ht="15" hidden="false" customHeight="false" outlineLevel="0" collapsed="false">
      <c r="A42" s="3" t="n">
        <v>39</v>
      </c>
      <c r="B42" s="4" t="s">
        <v>76</v>
      </c>
      <c r="C42" s="5" t="n">
        <v>1.1</v>
      </c>
      <c r="D42" s="6" t="n">
        <f aca="false">IFERROR(V42/W42-1,"")</f>
        <v>-0.00237141221686166</v>
      </c>
      <c r="E42" s="6" t="n">
        <f aca="false">IFERROR(AA42/AB42-1,"")</f>
        <v>-0.00548625371624723</v>
      </c>
      <c r="F42" s="3" t="str">
        <f aca="false">IF(OR(D42="",E42=""),"n/a (new)",IF(D42&gt;=0,IF(E42&gt;=0,"Long Buildup","Short Covering"),IF(E42&gt;=0,"Short Buildup","Long Unwinding")))</f>
        <v>Long Unwinding</v>
      </c>
      <c r="G42" s="6" t="n">
        <f aca="false">IFERROR(V42/X42-1,"")</f>
        <v>0.00304201266134996</v>
      </c>
      <c r="H42" s="6" t="n">
        <f aca="false">IFERROR(AA42/AC42-1,"")</f>
        <v>-0.0114550329027541</v>
      </c>
      <c r="I42" s="3" t="str">
        <f aca="false">IF(OR(G42="",H42=""),"n/a (new)",IF(G42&gt;=0,IF(H42&gt;=0,"Long Buildup","Short Covering"),IF(H42&gt;=0,"Short Buildup","Long Unwinding")))</f>
        <v>Short Covering</v>
      </c>
      <c r="J42" s="6" t="n">
        <f aca="false">IFERROR(V42/Y42-1,"")</f>
        <v>0.0381211708645337</v>
      </c>
      <c r="K42" s="6" t="n">
        <f aca="false">IFERROR(AA42/AD42-1,"")</f>
        <v>0.0566283499951155</v>
      </c>
      <c r="L42" s="3" t="str">
        <f aca="false">IF(OR(J42="",K42=""),"n/a (new)",IF(J42&gt;=0,IF(K42&gt;=0,"Long Buildup","Short Covering"),IF(K42&gt;=0,"Short Buildup","Long Unwinding")))</f>
        <v>Long Buildup</v>
      </c>
      <c r="M42" s="6" t="n">
        <f aca="false">IFERROR(V42/Z42-1,"")</f>
        <v>-0.0370955011838989</v>
      </c>
      <c r="N42" s="6" t="n">
        <f aca="false">IFERROR(AA42/AE42-1,"")</f>
        <v>0.0597687634724671</v>
      </c>
      <c r="O42" s="3" t="str">
        <f aca="false">IF(OR(M42="",N42=""),"n/a (new)",IF(M42&gt;=0,IF(N42&gt;=0,"Long Buildup","Short Covering"),IF(N42&gt;=0,"Short Buildup","Long Unwinding")))</f>
        <v>Short Buildup</v>
      </c>
      <c r="P42" s="7" t="n">
        <f aca="false">IFERROR(AF42/AG42,"")</f>
        <v>0.706665652107746</v>
      </c>
      <c r="Q42" s="7" t="n">
        <f aca="false">IFERROR(AH42/AI42,"")</f>
        <v>0.791252678745373</v>
      </c>
      <c r="V42" s="9" t="n">
        <v>1220</v>
      </c>
      <c r="W42" s="9" t="n">
        <v>1222.9</v>
      </c>
      <c r="X42" s="9" t="n">
        <v>1216.3</v>
      </c>
      <c r="Y42" s="9" t="n">
        <v>1175.2</v>
      </c>
      <c r="Z42" s="9" t="n">
        <v>1267</v>
      </c>
      <c r="AA42" s="10" t="n">
        <v>43804800</v>
      </c>
      <c r="AB42" s="10" t="n">
        <v>44046450</v>
      </c>
      <c r="AC42" s="10" t="n">
        <v>44312400</v>
      </c>
      <c r="AD42" s="10" t="n">
        <v>41457150</v>
      </c>
      <c r="AE42" s="10" t="n">
        <v>41334300</v>
      </c>
      <c r="AF42" s="10" t="n">
        <v>6268725</v>
      </c>
      <c r="AG42" s="10" t="n">
        <v>8870850</v>
      </c>
      <c r="AH42" s="10" t="n">
        <v>5483025</v>
      </c>
      <c r="AI42" s="10" t="n">
        <v>6929550</v>
      </c>
    </row>
    <row r="43" customFormat="false" ht="15" hidden="false" customHeight="false" outlineLevel="0" collapsed="false">
      <c r="A43" s="3" t="n">
        <v>40</v>
      </c>
      <c r="B43" s="4" t="s">
        <v>77</v>
      </c>
      <c r="C43" s="5" t="n">
        <v>0.95</v>
      </c>
      <c r="D43" s="6" t="n">
        <f aca="false">IFERROR(V43/W43-1,"")</f>
        <v>0.0149296531947305</v>
      </c>
      <c r="E43" s="6" t="n">
        <f aca="false">IFERROR(AA43/AB43-1,"")</f>
        <v>-0.0583953960731212</v>
      </c>
      <c r="F43" s="3" t="str">
        <f aca="false">IF(OR(D43="",E43=""),"n/a (new)",IF(D43&gt;=0,IF(E43&gt;=0,"Long Buildup","Short Covering"),IF(E43&gt;=0,"Short Buildup","Long Unwinding")))</f>
        <v>Short Covering</v>
      </c>
      <c r="G43" s="6" t="n">
        <f aca="false">IFERROR(V43/X43-1,"")</f>
        <v>0.00370442581399866</v>
      </c>
      <c r="H43" s="6" t="n">
        <f aca="false">IFERROR(AA43/AC43-1,"")</f>
        <v>-0.0436651194773938</v>
      </c>
      <c r="I43" s="3" t="str">
        <f aca="false">IF(OR(G43="",H43=""),"n/a (new)",IF(G43&gt;=0,IF(H43&gt;=0,"Long Buildup","Short Covering"),IF(H43&gt;=0,"Short Buildup","Long Unwinding")))</f>
        <v>Short Covering</v>
      </c>
      <c r="J43" s="6" t="n">
        <f aca="false">IFERROR(V43/Y43-1,"")</f>
        <v>0.0339803166140193</v>
      </c>
      <c r="K43" s="6" t="n">
        <f aca="false">IFERROR(AA43/AD43-1,"")</f>
        <v>-0.0506420922394301</v>
      </c>
      <c r="L43" s="3" t="str">
        <f aca="false">IF(OR(J43="",K43=""),"n/a (new)",IF(J43&gt;=0,IF(K43&gt;=0,"Long Buildup","Short Covering"),IF(K43&gt;=0,"Short Buildup","Long Unwinding")))</f>
        <v>Short Covering</v>
      </c>
      <c r="M43" s="6" t="n">
        <f aca="false">IFERROR(V43/Z43-1,"")</f>
        <v>-0.108150248051028</v>
      </c>
      <c r="N43" s="6" t="n">
        <f aca="false">IFERROR(AA43/AE43-1,"")</f>
        <v>-0.232874823318509</v>
      </c>
      <c r="O43" s="3" t="str">
        <f aca="false">IF(OR(M43="",N43=""),"n/a (new)",IF(M43&gt;=0,IF(N43&gt;=0,"Long Buildup","Short Covering"),IF(N43&gt;=0,"Short Buildup","Long Unwinding")))</f>
        <v>Long Unwinding</v>
      </c>
      <c r="P43" s="7" t="n">
        <f aca="false">IFERROR(AF43/AG43,"")</f>
        <v>0.736380985426787</v>
      </c>
      <c r="Q43" s="7" t="n">
        <f aca="false">IFERROR(AH43/AI43,"")</f>
        <v>0.615789473684211</v>
      </c>
      <c r="V43" s="9" t="n">
        <v>566.28</v>
      </c>
      <c r="W43" s="9" t="n">
        <v>557.95</v>
      </c>
      <c r="X43" s="9" t="n">
        <v>564.19</v>
      </c>
      <c r="Y43" s="9" t="n">
        <v>547.67</v>
      </c>
      <c r="Z43" s="9" t="n">
        <v>634.95</v>
      </c>
      <c r="AA43" s="10" t="n">
        <v>17801600</v>
      </c>
      <c r="AB43" s="10" t="n">
        <v>18905600</v>
      </c>
      <c r="AC43" s="10" t="n">
        <v>18614400</v>
      </c>
      <c r="AD43" s="10" t="n">
        <v>18751200</v>
      </c>
      <c r="AE43" s="10" t="n">
        <v>23205600</v>
      </c>
      <c r="AF43" s="10" t="n">
        <v>6791200</v>
      </c>
      <c r="AG43" s="10" t="n">
        <v>9222400</v>
      </c>
      <c r="AH43" s="10" t="n">
        <v>5428800</v>
      </c>
      <c r="AI43" s="10" t="n">
        <v>8816000</v>
      </c>
    </row>
    <row r="44" customFormat="false" ht="15" hidden="false" customHeight="false" outlineLevel="0" collapsed="false">
      <c r="A44" s="3" t="n">
        <v>41</v>
      </c>
      <c r="B44" s="4" t="s">
        <v>78</v>
      </c>
      <c r="C44" s="5" t="n">
        <v>0.76</v>
      </c>
      <c r="D44" s="6" t="n">
        <f aca="false">IFERROR(V44/W44-1,"")</f>
        <v>0.000896458987001303</v>
      </c>
      <c r="E44" s="6" t="n">
        <f aca="false">IFERROR(AA44/AB44-1,"")</f>
        <v>-0.0133333333333333</v>
      </c>
      <c r="F44" s="3" t="str">
        <f aca="false">IF(OR(D44="",E44=""),"n/a (new)",IF(D44&gt;=0,IF(E44&gt;=0,"Long Buildup","Short Covering"),IF(E44&gt;=0,"Short Buildup","Long Unwinding")))</f>
        <v>Short Covering</v>
      </c>
      <c r="G44" s="6" t="n">
        <f aca="false">IFERROR(V44/X44-1,"")</f>
        <v>-0.00578806767586826</v>
      </c>
      <c r="H44" s="6" t="n">
        <f aca="false">IFERROR(AA44/AC44-1,"")</f>
        <v>0.00348890790599699</v>
      </c>
      <c r="I44" s="3" t="str">
        <f aca="false">IF(OR(G44="",H44=""),"n/a (new)",IF(G44&gt;=0,IF(H44&gt;=0,"Long Buildup","Short Covering"),IF(H44&gt;=0,"Short Buildup","Long Unwinding")))</f>
        <v>Short Buildup</v>
      </c>
      <c r="J44" s="6" t="n">
        <f aca="false">IFERROR(V44/Y44-1,"")</f>
        <v>0.0337962962962963</v>
      </c>
      <c r="K44" s="6" t="n">
        <f aca="false">IFERROR(AA44/AD44-1,"")</f>
        <v>-0.0107080277759751</v>
      </c>
      <c r="L44" s="3" t="str">
        <f aca="false">IF(OR(J44="",K44=""),"n/a (new)",IF(J44&gt;=0,IF(K44&gt;=0,"Long Buildup","Short Covering"),IF(K44&gt;=0,"Short Buildup","Long Unwinding")))</f>
        <v>Short Covering</v>
      </c>
      <c r="M44" s="6" t="n">
        <f aca="false">IFERROR(V44/Z44-1,"")</f>
        <v>0.00592427683144203</v>
      </c>
      <c r="N44" s="6" t="n">
        <f aca="false">IFERROR(AA44/AE44-1,"")</f>
        <v>-0.199495877750355</v>
      </c>
      <c r="O44" s="3" t="str">
        <f aca="false">IF(OR(M44="",N44=""),"n/a (new)",IF(M44&gt;=0,IF(N44&gt;=0,"Long Buildup","Short Covering"),IF(N44&gt;=0,"Short Buildup","Long Unwinding")))</f>
        <v>Short Covering</v>
      </c>
      <c r="P44" s="7" t="n">
        <f aca="false">IFERROR(AF44/AG44,"")</f>
        <v>0.742077188578601</v>
      </c>
      <c r="Q44" s="7" t="n">
        <f aca="false">IFERROR(AH44/AI44,"")</f>
        <v>0.557992688600864</v>
      </c>
      <c r="V44" s="9" t="n">
        <v>22330</v>
      </c>
      <c r="W44" s="9" t="n">
        <v>22310</v>
      </c>
      <c r="X44" s="9" t="n">
        <v>22460</v>
      </c>
      <c r="Y44" s="9" t="n">
        <v>21600</v>
      </c>
      <c r="Z44" s="9" t="n">
        <v>22198.49</v>
      </c>
      <c r="AA44" s="10" t="n">
        <v>381100</v>
      </c>
      <c r="AB44" s="10" t="n">
        <v>386250</v>
      </c>
      <c r="AC44" s="10" t="n">
        <v>379775</v>
      </c>
      <c r="AD44" s="10" t="n">
        <v>385225</v>
      </c>
      <c r="AE44" s="10" t="n">
        <v>476075</v>
      </c>
      <c r="AF44" s="10" t="n">
        <v>59125</v>
      </c>
      <c r="AG44" s="10" t="n">
        <v>79675</v>
      </c>
      <c r="AH44" s="10" t="n">
        <v>41975</v>
      </c>
      <c r="AI44" s="10" t="n">
        <v>75225</v>
      </c>
    </row>
    <row r="45" customFormat="false" ht="15" hidden="false" customHeight="false" outlineLevel="0" collapsed="false">
      <c r="A45" s="3" t="n">
        <v>42</v>
      </c>
      <c r="B45" s="4" t="s">
        <v>79</v>
      </c>
      <c r="C45" s="5" t="n">
        <v>0.62</v>
      </c>
      <c r="D45" s="6" t="n">
        <f aca="false">IFERROR(V45/W45-1,"")</f>
        <v>-0.00274798333481074</v>
      </c>
      <c r="E45" s="6" t="n">
        <f aca="false">IFERROR(AA45/AB45-1,"")</f>
        <v>0.0127057464626046</v>
      </c>
      <c r="F45" s="3" t="str">
        <f aca="false">IF(OR(D45="",E45=""),"n/a (new)",IF(D45&gt;=0,IF(E45&gt;=0,"Long Buildup","Short Covering"),IF(E45&gt;=0,"Short Buildup","Long Unwinding")))</f>
        <v>Short Buildup</v>
      </c>
      <c r="G45" s="6" t="n">
        <f aca="false">IFERROR(V45/X45-1,"")</f>
        <v>0.0135135135135136</v>
      </c>
      <c r="H45" s="6" t="n">
        <f aca="false">IFERROR(AA45/AC45-1,"")</f>
        <v>0.0046191857342357</v>
      </c>
      <c r="I45" s="3" t="str">
        <f aca="false">IF(OR(G45="",H45=""),"n/a (new)",IF(G45&gt;=0,IF(H45&gt;=0,"Long Buildup","Short Covering"),IF(H45&gt;=0,"Short Buildup","Long Unwinding")))</f>
        <v>Long Buildup</v>
      </c>
      <c r="J45" s="6" t="n">
        <f aca="false">IFERROR(V45/Y45-1,"")</f>
        <v>0.0236578707916286</v>
      </c>
      <c r="K45" s="6" t="n">
        <f aca="false">IFERROR(AA45/AD45-1,"")</f>
        <v>-0.0165796207367941</v>
      </c>
      <c r="L45" s="3" t="str">
        <f aca="false">IF(OR(J45="",K45=""),"n/a (new)",IF(J45&gt;=0,IF(K45&gt;=0,"Long Buildup","Short Covering"),IF(K45&gt;=0,"Short Buildup","Long Unwinding")))</f>
        <v>Short Covering</v>
      </c>
      <c r="M45" s="6" t="n">
        <f aca="false">IFERROR(V45/Z45-1,"")</f>
        <v>-0.0471350527251937</v>
      </c>
      <c r="N45" s="6" t="n">
        <f aca="false">IFERROR(AA45/AE45-1,"")</f>
        <v>0.0140967252222945</v>
      </c>
      <c r="O45" s="3" t="str">
        <f aca="false">IF(OR(M45="",N45=""),"n/a (new)",IF(M45&gt;=0,IF(N45&gt;=0,"Long Buildup","Short Covering"),IF(N45&gt;=0,"Short Buildup","Long Unwinding")))</f>
        <v>Short Buildup</v>
      </c>
      <c r="P45" s="7" t="n">
        <f aca="false">IFERROR(AF45/AG45,"")</f>
        <v>0.502624613037821</v>
      </c>
      <c r="Q45" s="7" t="n">
        <f aca="false">IFERROR(AH45/AI45,"")</f>
        <v>0.506255692440439</v>
      </c>
      <c r="V45" s="9" t="n">
        <v>225</v>
      </c>
      <c r="W45" s="9" t="n">
        <v>225.62</v>
      </c>
      <c r="X45" s="9" t="n">
        <v>222</v>
      </c>
      <c r="Y45" s="9" t="n">
        <v>219.8</v>
      </c>
      <c r="Z45" s="9" t="n">
        <v>236.13</v>
      </c>
      <c r="AA45" s="10" t="n">
        <v>63126000</v>
      </c>
      <c r="AB45" s="10" t="n">
        <v>62334000</v>
      </c>
      <c r="AC45" s="10" t="n">
        <v>62835750</v>
      </c>
      <c r="AD45" s="10" t="n">
        <v>64190250</v>
      </c>
      <c r="AE45" s="10" t="n">
        <v>62248500</v>
      </c>
      <c r="AF45" s="10" t="n">
        <v>25206750</v>
      </c>
      <c r="AG45" s="10" t="n">
        <v>50150250</v>
      </c>
      <c r="AH45" s="10" t="n">
        <v>23762250</v>
      </c>
      <c r="AI45" s="10" t="n">
        <v>46937250</v>
      </c>
    </row>
    <row r="46" customFormat="false" ht="15" hidden="false" customHeight="false" outlineLevel="0" collapsed="false">
      <c r="A46" s="3" t="n">
        <v>43</v>
      </c>
      <c r="B46" s="4" t="s">
        <v>80</v>
      </c>
      <c r="C46" s="5" t="n">
        <v>0.55</v>
      </c>
      <c r="D46" s="6" t="n">
        <f aca="false">IFERROR(V46/W46-1,"")</f>
        <v>-0.00102786660575604</v>
      </c>
      <c r="E46" s="6" t="n">
        <f aca="false">IFERROR(AA46/AB46-1,"")</f>
        <v>0.0119707239130995</v>
      </c>
      <c r="F46" s="3" t="str">
        <f aca="false">IF(OR(D46="",E46=""),"n/a (new)",IF(D46&gt;=0,IF(E46&gt;=0,"Long Buildup","Short Covering"),IF(E46&gt;=0,"Short Buildup","Long Unwinding")))</f>
        <v>Short Buildup</v>
      </c>
      <c r="G46" s="6" t="n">
        <f aca="false">IFERROR(V46/X46-1,"")</f>
        <v>-0.0224412704798944</v>
      </c>
      <c r="H46" s="6" t="n">
        <f aca="false">IFERROR(AA46/AC46-1,"")</f>
        <v>-0.0493396763142923</v>
      </c>
      <c r="I46" s="3" t="str">
        <f aca="false">IF(OR(G46="",H46=""),"n/a (new)",IF(G46&gt;=0,IF(H46&gt;=0,"Long Buildup","Short Covering"),IF(H46&gt;=0,"Short Buildup","Long Unwinding")))</f>
        <v>Long Unwinding</v>
      </c>
      <c r="J46" s="6" t="n">
        <f aca="false">IFERROR(V46/Y46-1,"")</f>
        <v>0.00288931183929941</v>
      </c>
      <c r="K46" s="6" t="n">
        <f aca="false">IFERROR(AA46/AD46-1,"")</f>
        <v>-0.104555042471923</v>
      </c>
      <c r="L46" s="3" t="str">
        <f aca="false">IF(OR(J46="",K46=""),"n/a (new)",IF(J46&gt;=0,IF(K46&gt;=0,"Long Buildup","Short Covering"),IF(K46&gt;=0,"Short Buildup","Long Unwinding")))</f>
        <v>Short Covering</v>
      </c>
      <c r="M46" s="6" t="n">
        <f aca="false">IFERROR(V46/Z46-1,"")</f>
        <v>0.0598570216890828</v>
      </c>
      <c r="N46" s="6" t="n">
        <f aca="false">IFERROR(AA46/AE46-1,"")</f>
        <v>-0.136199652434062</v>
      </c>
      <c r="O46" s="3" t="str">
        <f aca="false">IF(OR(M46="",N46=""),"n/a (new)",IF(M46&gt;=0,IF(N46&gt;=0,"Long Buildup","Short Covering"),IF(N46&gt;=0,"Short Buildup","Long Unwinding")))</f>
        <v>Short Covering</v>
      </c>
      <c r="P46" s="7" t="n">
        <f aca="false">IFERROR(AF46/AG46,"")</f>
        <v>0.701637598189322</v>
      </c>
      <c r="Q46" s="7" t="n">
        <f aca="false">IFERROR(AH46/AI46,"")</f>
        <v>0.625099529961729</v>
      </c>
      <c r="V46" s="9" t="n">
        <v>437.35</v>
      </c>
      <c r="W46" s="9" t="n">
        <v>437.8</v>
      </c>
      <c r="X46" s="9" t="n">
        <v>447.39</v>
      </c>
      <c r="Y46" s="9" t="n">
        <v>436.09</v>
      </c>
      <c r="Z46" s="9" t="n">
        <v>412.65</v>
      </c>
      <c r="AA46" s="10" t="n">
        <v>157070000</v>
      </c>
      <c r="AB46" s="10" t="n">
        <v>155212000</v>
      </c>
      <c r="AC46" s="10" t="n">
        <v>165222000</v>
      </c>
      <c r="AD46" s="10" t="n">
        <v>175410000</v>
      </c>
      <c r="AE46" s="10" t="n">
        <v>181836000</v>
      </c>
      <c r="AF46" s="10" t="n">
        <v>52700000</v>
      </c>
      <c r="AG46" s="10" t="n">
        <v>75110000</v>
      </c>
      <c r="AH46" s="10" t="n">
        <v>48674000</v>
      </c>
      <c r="AI46" s="10" t="n">
        <v>77866000</v>
      </c>
    </row>
    <row r="47" customFormat="false" ht="15" hidden="false" customHeight="false" outlineLevel="0" collapsed="false">
      <c r="A47" s="3" t="n">
        <v>44</v>
      </c>
      <c r="B47" s="4" t="s">
        <v>81</v>
      </c>
      <c r="C47" s="5" t="n">
        <v>0.44</v>
      </c>
      <c r="D47" s="6" t="n">
        <f aca="false">IFERROR(V47/W47-1,"")</f>
        <v>-0.00558861987612913</v>
      </c>
      <c r="E47" s="6" t="n">
        <f aca="false">IFERROR(AA47/AB47-1,"")</f>
        <v>-0.141724531039486</v>
      </c>
      <c r="F47" s="3" t="str">
        <f aca="false">IF(OR(D47="",E47=""),"n/a (new)",IF(D47&gt;=0,IF(E47&gt;=0,"Long Buildup","Short Covering"),IF(E47&gt;=0,"Short Buildup","Long Unwinding")))</f>
        <v>Long Unwinding</v>
      </c>
      <c r="G47" s="6" t="n">
        <f aca="false">IFERROR(V47/X47-1,"")</f>
        <v>-0.0263904233629851</v>
      </c>
      <c r="H47" s="6" t="n">
        <f aca="false">IFERROR(AA47/AC47-1,"")</f>
        <v>-0.122606277314263</v>
      </c>
      <c r="I47" s="3" t="str">
        <f aca="false">IF(OR(G47="",H47=""),"n/a (new)",IF(G47&gt;=0,IF(H47&gt;=0,"Long Buildup","Short Covering"),IF(H47&gt;=0,"Short Buildup","Long Unwinding")))</f>
        <v>Long Unwinding</v>
      </c>
      <c r="J47" s="6" t="n">
        <f aca="false">IFERROR(V47/Y47-1,"")</f>
        <v>0.091704172179679</v>
      </c>
      <c r="K47" s="6" t="n">
        <f aca="false">IFERROR(AA47/AD47-1,"")</f>
        <v>-0.0439274994227661</v>
      </c>
      <c r="L47" s="3" t="str">
        <f aca="false">IF(OR(J47="",K47=""),"n/a (new)",IF(J47&gt;=0,IF(K47&gt;=0,"Long Buildup","Short Covering"),IF(K47&gt;=0,"Short Buildup","Long Unwinding")))</f>
        <v>Short Covering</v>
      </c>
      <c r="M47" s="6" t="n">
        <f aca="false">IFERROR(V47/Z47-1,"")</f>
        <v>0.0278535320741284</v>
      </c>
      <c r="N47" s="6" t="n">
        <f aca="false">IFERROR(AA47/AE47-1,"")</f>
        <v>-0.145289883117888</v>
      </c>
      <c r="O47" s="3" t="str">
        <f aca="false">IF(OR(M47="",N47=""),"n/a (new)",IF(M47&gt;=0,IF(N47&gt;=0,"Long Buildup","Short Covering"),IF(N47&gt;=0,"Short Buildup","Long Unwinding")))</f>
        <v>Short Covering</v>
      </c>
      <c r="P47" s="7" t="n">
        <f aca="false">IFERROR(AF47/AG47,"")</f>
        <v>0.545568263045032</v>
      </c>
      <c r="Q47" s="7" t="n">
        <f aca="false">IFERROR(AH47/AI47,"")</f>
        <v>0.632450763010304</v>
      </c>
      <c r="V47" s="9" t="n">
        <v>4274</v>
      </c>
      <c r="W47" s="9" t="n">
        <v>4298.02</v>
      </c>
      <c r="X47" s="9" t="n">
        <v>4389.85</v>
      </c>
      <c r="Y47" s="9" t="n">
        <v>3914.98</v>
      </c>
      <c r="Z47" s="9" t="n">
        <v>4158.18</v>
      </c>
      <c r="AA47" s="10" t="n">
        <v>4968900</v>
      </c>
      <c r="AB47" s="10" t="n">
        <v>5789400</v>
      </c>
      <c r="AC47" s="10" t="n">
        <v>5663250</v>
      </c>
      <c r="AD47" s="10" t="n">
        <v>5197200</v>
      </c>
      <c r="AE47" s="10" t="n">
        <v>5813550</v>
      </c>
      <c r="AF47" s="10" t="n">
        <v>915900</v>
      </c>
      <c r="AG47" s="10" t="n">
        <v>1678800</v>
      </c>
      <c r="AH47" s="10" t="n">
        <v>727350</v>
      </c>
      <c r="AI47" s="10" t="n">
        <v>1150050</v>
      </c>
    </row>
    <row r="48" customFormat="false" ht="15" hidden="false" customHeight="false" outlineLevel="0" collapsed="false">
      <c r="A48" s="3" t="n">
        <v>45</v>
      </c>
      <c r="B48" s="4" t="s">
        <v>82</v>
      </c>
      <c r="C48" s="5" t="n">
        <v>0.32</v>
      </c>
      <c r="D48" s="6" t="n">
        <f aca="false">IFERROR(V48/W48-1,"")</f>
        <v>-0.0155932203389831</v>
      </c>
      <c r="E48" s="6" t="n">
        <f aca="false">IFERROR(AA48/AB48-1,"")</f>
        <v>-0.0161846153846154</v>
      </c>
      <c r="F48" s="3" t="str">
        <f aca="false">IF(OR(D48="",E48=""),"n/a (new)",IF(D48&gt;=0,IF(E48&gt;=0,"Long Buildup","Short Covering"),IF(E48&gt;=0,"Short Buildup","Long Unwinding")))</f>
        <v>Long Unwinding</v>
      </c>
      <c r="G48" s="6" t="n">
        <f aca="false">IFERROR(V48/X48-1,"")</f>
        <v>-0.00887372013651888</v>
      </c>
      <c r="H48" s="6" t="n">
        <f aca="false">IFERROR(AA48/AC48-1,"")</f>
        <v>-0.0184195984527538</v>
      </c>
      <c r="I48" s="3" t="str">
        <f aca="false">IF(OR(G48="",H48=""),"n/a (new)",IF(G48&gt;=0,IF(H48&gt;=0,"Long Buildup","Short Covering"),IF(H48&gt;=0,"Short Buildup","Long Unwinding")))</f>
        <v>Long Unwinding</v>
      </c>
      <c r="J48" s="6" t="n">
        <f aca="false">IFERROR(V48/Y48-1,"")</f>
        <v>0.00658578856152503</v>
      </c>
      <c r="K48" s="6" t="n">
        <f aca="false">IFERROR(AA48/AD48-1,"")</f>
        <v>-0.0430957083857066</v>
      </c>
      <c r="L48" s="3" t="str">
        <f aca="false">IF(OR(J48="",K48=""),"n/a (new)",IF(J48&gt;=0,IF(K48&gt;=0,"Long Buildup","Short Covering"),IF(K48&gt;=0,"Short Buildup","Long Unwinding")))</f>
        <v>Short Covering</v>
      </c>
      <c r="M48" s="6" t="n">
        <f aca="false">IFERROR(V48/Z48-1,"")</f>
        <v>0.0307009760425909</v>
      </c>
      <c r="N48" s="6" t="n">
        <f aca="false">IFERROR(AA48/AE48-1,"")</f>
        <v>-0.0251829268292683</v>
      </c>
      <c r="O48" s="3" t="str">
        <f aca="false">IF(OR(M48="",N48=""),"n/a (new)",IF(M48&gt;=0,IF(N48&gt;=0,"Long Buildup","Short Covering"),IF(N48&gt;=0,"Short Buildup","Long Unwinding")))</f>
        <v>Short Covering</v>
      </c>
      <c r="P48" s="7" t="n">
        <f aca="false">IFERROR(AF48/AG48,"")</f>
        <v>0.564472980203317</v>
      </c>
      <c r="Q48" s="7" t="n">
        <f aca="false">IFERROR(AH48/AI48,"")</f>
        <v>0.488303227716909</v>
      </c>
      <c r="V48" s="9" t="n">
        <v>290.4</v>
      </c>
      <c r="W48" s="9" t="n">
        <v>295</v>
      </c>
      <c r="X48" s="9" t="n">
        <v>293</v>
      </c>
      <c r="Y48" s="9" t="n">
        <v>288.5</v>
      </c>
      <c r="Z48" s="9" t="n">
        <v>281.75</v>
      </c>
      <c r="AA48" s="10" t="n">
        <v>30375300</v>
      </c>
      <c r="AB48" s="10" t="n">
        <v>30875000</v>
      </c>
      <c r="AC48" s="10" t="n">
        <v>30945300</v>
      </c>
      <c r="AD48" s="10" t="n">
        <v>31743300</v>
      </c>
      <c r="AE48" s="10" t="n">
        <v>31160000</v>
      </c>
      <c r="AF48" s="10" t="n">
        <v>4009000</v>
      </c>
      <c r="AG48" s="10" t="n">
        <v>7102200</v>
      </c>
      <c r="AH48" s="10" t="n">
        <v>3133100</v>
      </c>
      <c r="AI48" s="10" t="n">
        <v>6416300</v>
      </c>
    </row>
    <row r="49" customFormat="false" ht="15" hidden="false" customHeight="false" outlineLevel="0" collapsed="false">
      <c r="A49" s="3" t="n">
        <v>46</v>
      </c>
      <c r="B49" s="4" t="s">
        <v>83</v>
      </c>
      <c r="C49" s="5" t="n">
        <v>0.3</v>
      </c>
      <c r="D49" s="6" t="n">
        <f aca="false">IFERROR(V49/W49-1,"")</f>
        <v>0.00147492625368728</v>
      </c>
      <c r="E49" s="6" t="n">
        <f aca="false">IFERROR(AA49/AB49-1,"")</f>
        <v>-0.00426449115813388</v>
      </c>
      <c r="F49" s="3" t="str">
        <f aca="false">IF(OR(D49="",E49=""),"n/a (new)",IF(D49&gt;=0,IF(E49&gt;=0,"Long Buildup","Short Covering"),IF(E49&gt;=0,"Short Buildup","Long Unwinding")))</f>
        <v>Short Covering</v>
      </c>
      <c r="G49" s="6" t="n">
        <f aca="false">IFERROR(V49/X49-1,"")</f>
        <v>-0.00707767898923728</v>
      </c>
      <c r="H49" s="6" t="n">
        <f aca="false">IFERROR(AA49/AC49-1,"")</f>
        <v>-0.0240561537413112</v>
      </c>
      <c r="I49" s="3" t="str">
        <f aca="false">IF(OR(G49="",H49=""),"n/a (new)",IF(G49&gt;=0,IF(H49&gt;=0,"Long Buildup","Short Covering"),IF(H49&gt;=0,"Short Buildup","Long Unwinding")))</f>
        <v>Long Unwinding</v>
      </c>
      <c r="J49" s="6" t="n">
        <f aca="false">IFERROR(V49/Y49-1,"")</f>
        <v>0.0209298129548325</v>
      </c>
      <c r="K49" s="6" t="n">
        <f aca="false">IFERROR(AA49/AD49-1,"")</f>
        <v>0.164435169124024</v>
      </c>
      <c r="L49" s="3" t="str">
        <f aca="false">IF(OR(J49="",K49=""),"n/a (new)",IF(J49&gt;=0,IF(K49&gt;=0,"Long Buildup","Short Covering"),IF(K49&gt;=0,"Short Buildup","Long Unwinding")))</f>
        <v>Long Buildup</v>
      </c>
      <c r="M49" s="6" t="n">
        <f aca="false">IFERROR(V49/Z49-1,"")</f>
        <v>-0.024481351646457</v>
      </c>
      <c r="N49" s="6" t="n">
        <f aca="false">IFERROR(AA49/AE49-1,"")</f>
        <v>0.000372552215521349</v>
      </c>
      <c r="O49" s="3" t="str">
        <f aca="false">IF(OR(M49="",N49=""),"n/a (new)",IF(M49&gt;=0,IF(N49&gt;=0,"Long Buildup","Short Covering"),IF(N49&gt;=0,"Short Buildup","Long Unwinding")))</f>
        <v>Short Buildup</v>
      </c>
      <c r="P49" s="7" t="n">
        <f aca="false">IFERROR(AF49/AG49,"")</f>
        <v>0.91273465246068</v>
      </c>
      <c r="Q49" s="7" t="n">
        <f aca="false">IFERROR(AH49/AI49,"")</f>
        <v>0.518518518518519</v>
      </c>
      <c r="V49" s="9" t="n">
        <v>169.75</v>
      </c>
      <c r="W49" s="9" t="n">
        <v>169.5</v>
      </c>
      <c r="X49" s="9" t="n">
        <v>170.96</v>
      </c>
      <c r="Y49" s="9" t="n">
        <v>166.27</v>
      </c>
      <c r="Z49" s="9" t="n">
        <v>174.01</v>
      </c>
      <c r="AA49" s="10" t="n">
        <v>201926100</v>
      </c>
      <c r="AB49" s="10" t="n">
        <v>202790900</v>
      </c>
      <c r="AC49" s="10" t="n">
        <v>206903400</v>
      </c>
      <c r="AD49" s="10" t="n">
        <v>173411200</v>
      </c>
      <c r="AE49" s="10" t="n">
        <v>201850900</v>
      </c>
      <c r="AF49" s="10" t="n">
        <v>8455300</v>
      </c>
      <c r="AG49" s="10" t="n">
        <v>9263700</v>
      </c>
      <c r="AH49" s="10" t="n">
        <v>65800</v>
      </c>
      <c r="AI49" s="10" t="n">
        <v>126900</v>
      </c>
    </row>
    <row r="50" customFormat="false" ht="15" hidden="false" customHeight="false" outlineLevel="0" collapsed="false">
      <c r="A50" s="3" t="n">
        <v>47</v>
      </c>
      <c r="B50" s="4" t="s">
        <v>84</v>
      </c>
      <c r="C50" s="5" t="n">
        <v>-0.55</v>
      </c>
      <c r="D50" s="6" t="n">
        <f aca="false">IFERROR(V50/W50-1,"")</f>
        <v>0.00260416666666674</v>
      </c>
      <c r="E50" s="6" t="n">
        <f aca="false">IFERROR(AA50/AB50-1,"")</f>
        <v>-0.103525678238322</v>
      </c>
      <c r="F50" s="3" t="str">
        <f aca="false">IF(OR(D50="",E50=""),"n/a (new)",IF(D50&gt;=0,IF(E50&gt;=0,"Long Buildup","Short Covering"),IF(E50&gt;=0,"Short Buildup","Long Unwinding")))</f>
        <v>Short Covering</v>
      </c>
      <c r="G50" s="6" t="n">
        <f aca="false">IFERROR(V50/X50-1,"")</f>
        <v>-0.0406179915275355</v>
      </c>
      <c r="H50" s="6" t="n">
        <f aca="false">IFERROR(AA50/AC50-1,"")</f>
        <v>-0.0168081494057725</v>
      </c>
      <c r="I50" s="3" t="str">
        <f aca="false">IF(OR(G50="",H50=""),"n/a (new)",IF(G50&gt;=0,IF(H50&gt;=0,"Long Buildup","Short Covering"),IF(H50&gt;=0,"Short Buildup","Long Unwinding")))</f>
        <v>Long Unwinding</v>
      </c>
      <c r="J50" s="6" t="n">
        <f aca="false">IFERROR(V50/Y50-1,"")</f>
        <v>0.0367577756833177</v>
      </c>
      <c r="K50" s="6" t="n">
        <f aca="false">IFERROR(AA50/AD50-1,"")</f>
        <v>0.124848249405138</v>
      </c>
      <c r="L50" s="3" t="str">
        <f aca="false">IF(OR(J50="",K50=""),"n/a (new)",IF(J50&gt;=0,IF(K50&gt;=0,"Long Buildup","Short Covering"),IF(K50&gt;=0,"Short Buildup","Long Unwinding")))</f>
        <v>Long Buildup</v>
      </c>
      <c r="M50" s="6" t="n">
        <f aca="false">IFERROR(V50/Z50-1,"")</f>
        <v>-0.0373796724590573</v>
      </c>
      <c r="N50" s="6" t="n">
        <f aca="false">IFERROR(AA50/AE50-1,"")</f>
        <v>0.0318959372772629</v>
      </c>
      <c r="O50" s="3" t="str">
        <f aca="false">IF(OR(M50="",N50=""),"n/a (new)",IF(M50&gt;=0,IF(N50&gt;=0,"Long Buildup","Short Covering"),IF(N50&gt;=0,"Short Buildup","Long Unwinding")))</f>
        <v>Short Buildup</v>
      </c>
      <c r="P50" s="7" t="n">
        <f aca="false">IFERROR(AF50/AG50,"")</f>
        <v>0.614201994063475</v>
      </c>
      <c r="Q50" s="7" t="n">
        <f aca="false">IFERROR(AH50/AI50,"")</f>
        <v>0.616613964618409</v>
      </c>
      <c r="V50" s="9" t="n">
        <v>77</v>
      </c>
      <c r="W50" s="9" t="n">
        <v>76.8</v>
      </c>
      <c r="X50" s="9" t="n">
        <v>80.26</v>
      </c>
      <c r="Y50" s="9" t="n">
        <v>74.27</v>
      </c>
      <c r="Z50" s="9" t="n">
        <v>79.99</v>
      </c>
      <c r="AA50" s="10" t="n">
        <v>125664700</v>
      </c>
      <c r="AB50" s="10" t="n">
        <v>140176575</v>
      </c>
      <c r="AC50" s="10" t="n">
        <v>127813000</v>
      </c>
      <c r="AD50" s="10" t="n">
        <v>111717025</v>
      </c>
      <c r="AE50" s="10" t="n">
        <v>121780400</v>
      </c>
      <c r="AF50" s="10" t="n">
        <v>43779750</v>
      </c>
      <c r="AG50" s="10" t="n">
        <v>71279075</v>
      </c>
      <c r="AH50" s="10" t="n">
        <v>39141375</v>
      </c>
      <c r="AI50" s="10" t="n">
        <v>63477925</v>
      </c>
    </row>
    <row r="51" customFormat="false" ht="15" hidden="false" customHeight="false" outlineLevel="0" collapsed="false">
      <c r="A51" s="3" t="n">
        <v>48</v>
      </c>
      <c r="B51" s="4" t="s">
        <v>85</v>
      </c>
      <c r="C51" s="5" t="n">
        <v>-0.73</v>
      </c>
      <c r="D51" s="6" t="n">
        <f aca="false">IFERROR(V51/W51-1,"")</f>
        <v>-0.0177227441414218</v>
      </c>
      <c r="E51" s="6" t="n">
        <f aca="false">IFERROR(AA51/AB51-1,"")</f>
        <v>0.0294823183471331</v>
      </c>
      <c r="F51" s="3" t="str">
        <f aca="false">IF(OR(D51="",E51=""),"n/a (new)",IF(D51&gt;=0,IF(E51&gt;=0,"Long Buildup","Short Covering"),IF(E51&gt;=0,"Short Buildup","Long Unwinding")))</f>
        <v>Short Buildup</v>
      </c>
      <c r="G51" s="6" t="n">
        <f aca="false">IFERROR(V51/X51-1,"")</f>
        <v>-0.0290435890233423</v>
      </c>
      <c r="H51" s="6" t="n">
        <f aca="false">IFERROR(AA51/AC51-1,"")</f>
        <v>0.0296416686015015</v>
      </c>
      <c r="I51" s="3" t="str">
        <f aca="false">IF(OR(G51="",H51=""),"n/a (new)",IF(G51&gt;=0,IF(H51&gt;=0,"Long Buildup","Short Covering"),IF(H51&gt;=0,"Short Buildup","Long Unwinding")))</f>
        <v>Short Buildup</v>
      </c>
      <c r="J51" s="6" t="n">
        <f aca="false">IFERROR(V51/Y51-1,"")</f>
        <v>0.00843443096476015</v>
      </c>
      <c r="K51" s="6" t="n">
        <f aca="false">IFERROR(AA51/AD51-1,"")</f>
        <v>0.0444339770764641</v>
      </c>
      <c r="L51" s="3" t="str">
        <f aca="false">IF(OR(J51="",K51=""),"n/a (new)",IF(J51&gt;=0,IF(K51&gt;=0,"Long Buildup","Short Covering"),IF(K51&gt;=0,"Short Buildup","Long Unwinding")))</f>
        <v>Long Buildup</v>
      </c>
      <c r="M51" s="6" t="n">
        <f aca="false">IFERROR(V51/Z51-1,"")</f>
        <v>0.00886280425252761</v>
      </c>
      <c r="N51" s="6" t="n">
        <f aca="false">IFERROR(AA51/AE51-1,"")</f>
        <v>0.0116340962664436</v>
      </c>
      <c r="O51" s="3" t="str">
        <f aca="false">IF(OR(M51="",N51=""),"n/a (new)",IF(M51&gt;=0,IF(N51&gt;=0,"Long Buildup","Short Covering"),IF(N51&gt;=0,"Short Buildup","Long Unwinding")))</f>
        <v>Long Buildup</v>
      </c>
      <c r="P51" s="7" t="n">
        <f aca="false">IFERROR(AF51/AG51,"")</f>
        <v>0.814814814814815</v>
      </c>
      <c r="Q51" s="7" t="n">
        <f aca="false">IFERROR(AH51/AI51,"")</f>
        <v>0.43398392652124</v>
      </c>
      <c r="V51" s="9" t="n">
        <v>3491.2</v>
      </c>
      <c r="W51" s="9" t="n">
        <v>3554.19</v>
      </c>
      <c r="X51" s="9" t="n">
        <v>3595.63</v>
      </c>
      <c r="Y51" s="9" t="n">
        <v>3462</v>
      </c>
      <c r="Z51" s="9" t="n">
        <v>3460.53</v>
      </c>
      <c r="AA51" s="10" t="n">
        <v>2328200</v>
      </c>
      <c r="AB51" s="10" t="n">
        <v>2261525</v>
      </c>
      <c r="AC51" s="10" t="n">
        <v>2261175</v>
      </c>
      <c r="AD51" s="10" t="n">
        <v>2229150</v>
      </c>
      <c r="AE51" s="10" t="n">
        <v>2301425</v>
      </c>
      <c r="AF51" s="10" t="n">
        <v>604450</v>
      </c>
      <c r="AG51" s="10" t="n">
        <v>741825</v>
      </c>
      <c r="AH51" s="10" t="n">
        <v>264600</v>
      </c>
      <c r="AI51" s="10" t="n">
        <v>609700</v>
      </c>
    </row>
    <row r="52" customFormat="false" ht="15" hidden="false" customHeight="false" outlineLevel="0" collapsed="false">
      <c r="A52" s="3" t="n">
        <v>49</v>
      </c>
      <c r="B52" s="4" t="s">
        <v>86</v>
      </c>
      <c r="C52" s="5" t="n">
        <v>-0.83</v>
      </c>
      <c r="D52" s="6" t="n">
        <f aca="false">IFERROR(V52/W52-1,"")</f>
        <v>-0.0346761710794298</v>
      </c>
      <c r="E52" s="6" t="n">
        <f aca="false">IFERROR(AA52/AB52-1,"")</f>
        <v>-0.160689342086884</v>
      </c>
      <c r="F52" s="3" t="str">
        <f aca="false">IF(OR(D52="",E52=""),"n/a (new)",IF(D52&gt;=0,IF(E52&gt;=0,"Long Buildup","Short Covering"),IF(E52&gt;=0,"Short Buildup","Long Unwinding")))</f>
        <v>Long Unwinding</v>
      </c>
      <c r="G52" s="6" t="n">
        <f aca="false">IFERROR(V52/X52-1,"")</f>
        <v>-0.0761965275558016</v>
      </c>
      <c r="H52" s="6" t="n">
        <f aca="false">IFERROR(AA52/AC52-1,"")</f>
        <v>-0.0127338823964345</v>
      </c>
      <c r="I52" s="3" t="str">
        <f aca="false">IF(OR(G52="",H52=""),"n/a (new)",IF(G52&gt;=0,IF(H52&gt;=0,"Long Buildup","Short Covering"),IF(H52&gt;=0,"Short Buildup","Long Unwinding")))</f>
        <v>Long Unwinding</v>
      </c>
      <c r="J52" s="6" t="n">
        <f aca="false">IFERROR(V52/Y52-1,"")</f>
        <v>0.0226417536894794</v>
      </c>
      <c r="K52" s="6" t="n">
        <f aca="false">IFERROR(AA52/AD52-1,"")</f>
        <v>0.261752893928656</v>
      </c>
      <c r="L52" s="3" t="str">
        <f aca="false">IF(OR(J52="",K52=""),"n/a (new)",IF(J52&gt;=0,IF(K52&gt;=0,"Long Buildup","Short Covering"),IF(K52&gt;=0,"Short Buildup","Long Unwinding")))</f>
        <v>Long Buildup</v>
      </c>
      <c r="M52" s="6" t="n">
        <f aca="false">IFERROR(V52/Z52-1,"")</f>
        <v>-0.0501561115987512</v>
      </c>
      <c r="N52" s="6" t="n">
        <f aca="false">IFERROR(AA52/AE52-1,"")</f>
        <v>-0.116589785529193</v>
      </c>
      <c r="O52" s="3" t="str">
        <f aca="false">IF(OR(M52="",N52=""),"n/a (new)",IF(M52&gt;=0,IF(N52&gt;=0,"Long Buildup","Short Covering"),IF(N52&gt;=0,"Short Buildup","Long Unwinding")))</f>
        <v>Long Unwinding</v>
      </c>
      <c r="P52" s="7" t="n">
        <f aca="false">IFERROR(AF52/AG52,"")</f>
        <v>0.726072607260726</v>
      </c>
      <c r="Q52" s="7" t="n">
        <f aca="false">IFERROR(AH52/AI52,"")</f>
        <v>0.614117401730789</v>
      </c>
      <c r="V52" s="9" t="n">
        <v>2369.87</v>
      </c>
      <c r="W52" s="9" t="n">
        <v>2455</v>
      </c>
      <c r="X52" s="9" t="n">
        <v>2565.34</v>
      </c>
      <c r="Y52" s="9" t="n">
        <v>2317.4</v>
      </c>
      <c r="Z52" s="9" t="n">
        <v>2495.01</v>
      </c>
      <c r="AA52" s="10" t="n">
        <v>8412075</v>
      </c>
      <c r="AB52" s="10" t="n">
        <v>10022600</v>
      </c>
      <c r="AC52" s="10" t="n">
        <v>8520575</v>
      </c>
      <c r="AD52" s="10" t="n">
        <v>6666975</v>
      </c>
      <c r="AE52" s="10" t="n">
        <v>9522275</v>
      </c>
      <c r="AF52" s="10" t="n">
        <v>1578500</v>
      </c>
      <c r="AG52" s="10" t="n">
        <v>2174025</v>
      </c>
      <c r="AH52" s="10" t="n">
        <v>1030750</v>
      </c>
      <c r="AI52" s="10" t="n">
        <v>1678425</v>
      </c>
    </row>
    <row r="53" customFormat="false" ht="15" hidden="false" customHeight="false" outlineLevel="0" collapsed="false">
      <c r="A53" s="3" t="n">
        <v>50</v>
      </c>
      <c r="B53" s="4" t="s">
        <v>87</v>
      </c>
      <c r="C53" s="5" t="n">
        <v>-0.91</v>
      </c>
      <c r="D53" s="6" t="n">
        <f aca="false">IFERROR(V53/W53-1,"")</f>
        <v>0.0135052044446395</v>
      </c>
      <c r="E53" s="6" t="n">
        <f aca="false">IFERROR(AA53/AB53-1,"")</f>
        <v>0.0131629482210818</v>
      </c>
      <c r="F53" s="3" t="str">
        <f aca="false">IF(OR(D53="",E53=""),"n/a (new)",IF(D53&gt;=0,IF(E53&gt;=0,"Long Buildup","Short Covering"),IF(E53&gt;=0,"Short Buildup","Long Unwinding")))</f>
        <v>Long Buildup</v>
      </c>
      <c r="G53" s="6" t="n">
        <f aca="false">IFERROR(V53/X53-1,"")</f>
        <v>0.0123714053828776</v>
      </c>
      <c r="H53" s="6" t="n">
        <f aca="false">IFERROR(AA53/AC53-1,"")</f>
        <v>0.0154319907618015</v>
      </c>
      <c r="I53" s="3" t="str">
        <f aca="false">IF(OR(G53="",H53=""),"n/a (new)",IF(G53&gt;=0,IF(H53&gt;=0,"Long Buildup","Short Covering"),IF(H53&gt;=0,"Short Buildup","Long Unwinding")))</f>
        <v>Long Buildup</v>
      </c>
      <c r="J53" s="6" t="n">
        <f aca="false">IFERROR(V53/Y53-1,"")</f>
        <v>-0.000396350113598731</v>
      </c>
      <c r="K53" s="6" t="n">
        <f aca="false">IFERROR(AA53/AD53-1,"")</f>
        <v>0.012844677137871</v>
      </c>
      <c r="L53" s="3" t="str">
        <f aca="false">IF(OR(J53="",K53=""),"n/a (new)",IF(J53&gt;=0,IF(K53&gt;=0,"Long Buildup","Short Covering"),IF(K53&gt;=0,"Short Buildup","Long Unwinding")))</f>
        <v>Short Buildup</v>
      </c>
      <c r="M53" s="6" t="n">
        <f aca="false">IFERROR(V53/Z53-1,"")</f>
        <v>-0.0649716369529984</v>
      </c>
      <c r="N53" s="6" t="n">
        <f aca="false">IFERROR(AA53/AE53-1,"")</f>
        <v>0.0278043424361563</v>
      </c>
      <c r="O53" s="3" t="str">
        <f aca="false">IF(OR(M53="",N53=""),"n/a (new)",IF(M53&gt;=0,IF(N53&gt;=0,"Long Buildup","Short Covering"),IF(N53&gt;=0,"Short Buildup","Long Unwinding")))</f>
        <v>Short Buildup</v>
      </c>
      <c r="P53" s="7" t="n">
        <f aca="false">IFERROR(AF53/AG53,"")</f>
        <v>0.507777959718356</v>
      </c>
      <c r="Q53" s="7" t="n">
        <f aca="false">IFERROR(AH53/AI53,"")</f>
        <v>0.529832935560859</v>
      </c>
      <c r="V53" s="9" t="n">
        <v>4615.3</v>
      </c>
      <c r="W53" s="9" t="n">
        <v>4553.8</v>
      </c>
      <c r="X53" s="9" t="n">
        <v>4558.9</v>
      </c>
      <c r="Y53" s="9" t="n">
        <v>4617.13</v>
      </c>
      <c r="Z53" s="9" t="n">
        <v>4936</v>
      </c>
      <c r="AA53" s="10" t="n">
        <v>3627250</v>
      </c>
      <c r="AB53" s="10" t="n">
        <v>3580125</v>
      </c>
      <c r="AC53" s="10" t="n">
        <v>3572125</v>
      </c>
      <c r="AD53" s="10" t="n">
        <v>3581250</v>
      </c>
      <c r="AE53" s="10" t="n">
        <v>3529125</v>
      </c>
      <c r="AF53" s="10" t="n">
        <v>387625</v>
      </c>
      <c r="AG53" s="10" t="n">
        <v>763375</v>
      </c>
      <c r="AH53" s="10" t="n">
        <v>305250</v>
      </c>
      <c r="AI53" s="10" t="n">
        <v>576125</v>
      </c>
    </row>
    <row r="54" customFormat="false" ht="15" hidden="false" customHeight="false" outlineLevel="0" collapsed="false">
      <c r="A54" s="3" t="n">
        <v>51</v>
      </c>
      <c r="B54" s="4" t="s">
        <v>88</v>
      </c>
      <c r="C54" s="5" t="n">
        <v>-1.04</v>
      </c>
      <c r="D54" s="6" t="n">
        <f aca="false">IFERROR(V54/W54-1,"")</f>
        <v>0.00428989459927842</v>
      </c>
      <c r="E54" s="6" t="n">
        <f aca="false">IFERROR(AA54/AB54-1,"")</f>
        <v>-0.00828460038986356</v>
      </c>
      <c r="F54" s="3" t="str">
        <f aca="false">IF(OR(D54="",E54=""),"n/a (new)",IF(D54&gt;=0,IF(E54&gt;=0,"Long Buildup","Short Covering"),IF(E54&gt;=0,"Short Buildup","Long Unwinding")))</f>
        <v>Short Covering</v>
      </c>
      <c r="G54" s="6" t="n">
        <f aca="false">IFERROR(V54/X54-1,"")</f>
        <v>-0.000960886276282991</v>
      </c>
      <c r="H54" s="6" t="n">
        <f aca="false">IFERROR(AA54/AC54-1,"")</f>
        <v>-0.0125716806352008</v>
      </c>
      <c r="I54" s="3" t="str">
        <f aca="false">IF(OR(G54="",H54=""),"n/a (new)",IF(G54&gt;=0,IF(H54&gt;=0,"Long Buildup","Short Covering"),IF(H54&gt;=0,"Short Buildup","Long Unwinding")))</f>
        <v>Long Unwinding</v>
      </c>
      <c r="J54" s="6" t="n">
        <f aca="false">IFERROR(V54/Y54-1,"")</f>
        <v>0.0531803962460897</v>
      </c>
      <c r="K54" s="6" t="n">
        <f aca="false">IFERROR(AA54/AD54-1,"")</f>
        <v>-0.0532481813567924</v>
      </c>
      <c r="L54" s="3" t="str">
        <f aca="false">IF(OR(J54="",K54=""),"n/a (new)",IF(J54&gt;=0,IF(K54&gt;=0,"Long Buildup","Short Covering"),IF(K54&gt;=0,"Short Buildup","Long Unwinding")))</f>
        <v>Short Covering</v>
      </c>
      <c r="M54" s="6" t="n">
        <f aca="false">IFERROR(V54/Z54-1,"")</f>
        <v>-0.0367847411444142</v>
      </c>
      <c r="N54" s="6" t="n">
        <f aca="false">IFERROR(AA54/AE54-1,"")</f>
        <v>-0.0807736530880421</v>
      </c>
      <c r="O54" s="3" t="str">
        <f aca="false">IF(OR(M54="",N54=""),"n/a (new)",IF(M54&gt;=0,IF(N54&gt;=0,"Long Buildup","Short Covering"),IF(N54&gt;=0,"Short Buildup","Long Unwinding")))</f>
        <v>Long Unwinding</v>
      </c>
      <c r="P54" s="7" t="n">
        <f aca="false">IFERROR(AF54/AG54,"")</f>
        <v>0.934233013141611</v>
      </c>
      <c r="Q54" s="7" t="n">
        <f aca="false">IFERROR(AH54/AI54,"")</f>
        <v>0.857406855439642</v>
      </c>
      <c r="V54" s="9" t="n">
        <v>353.5</v>
      </c>
      <c r="W54" s="9" t="n">
        <v>351.99</v>
      </c>
      <c r="X54" s="9" t="n">
        <v>353.84</v>
      </c>
      <c r="Y54" s="9" t="n">
        <v>335.65</v>
      </c>
      <c r="Z54" s="9" t="n">
        <v>367</v>
      </c>
      <c r="AA54" s="10" t="n">
        <v>64916500</v>
      </c>
      <c r="AB54" s="10" t="n">
        <v>65458800</v>
      </c>
      <c r="AC54" s="10" t="n">
        <v>65743000</v>
      </c>
      <c r="AD54" s="10" t="n">
        <v>68567600</v>
      </c>
      <c r="AE54" s="10" t="n">
        <v>70620800</v>
      </c>
      <c r="AF54" s="10" t="n">
        <v>22986850</v>
      </c>
      <c r="AG54" s="10" t="n">
        <v>24605050</v>
      </c>
      <c r="AH54" s="10" t="n">
        <v>20855350</v>
      </c>
      <c r="AI54" s="10" t="n">
        <v>24323750</v>
      </c>
    </row>
    <row r="55" customFormat="false" ht="15" hidden="false" customHeight="false" outlineLevel="0" collapsed="false">
      <c r="A55" s="3" t="n">
        <v>52</v>
      </c>
      <c r="B55" s="4" t="s">
        <v>89</v>
      </c>
      <c r="C55" s="5" t="n">
        <v>-1.31</v>
      </c>
      <c r="D55" s="6" t="n">
        <f aca="false">IFERROR(V55/W55-1,"")</f>
        <v>0.00138111235535643</v>
      </c>
      <c r="E55" s="6" t="n">
        <f aca="false">IFERROR(AA55/AB55-1,"")</f>
        <v>0.0275617520248217</v>
      </c>
      <c r="F55" s="3" t="str">
        <f aca="false">IF(OR(D55="",E55=""),"n/a (new)",IF(D55&gt;=0,IF(E55&gt;=0,"Long Buildup","Short Covering"),IF(E55&gt;=0,"Short Buildup","Long Unwinding")))</f>
        <v>Long Buildup</v>
      </c>
      <c r="G55" s="6" t="n">
        <f aca="false">IFERROR(V55/X55-1,"")</f>
        <v>-0.042773163965282</v>
      </c>
      <c r="H55" s="6" t="n">
        <f aca="false">IFERROR(AA55/AC55-1,"")</f>
        <v>0.0963456577815993</v>
      </c>
      <c r="I55" s="3" t="str">
        <f aca="false">IF(OR(G55="",H55=""),"n/a (new)",IF(G55&gt;=0,IF(H55&gt;=0,"Long Buildup","Short Covering"),IF(H55&gt;=0,"Short Buildup","Long Unwinding")))</f>
        <v>Short Buildup</v>
      </c>
      <c r="J55" s="6" t="n">
        <f aca="false">IFERROR(V55/Y55-1,"")</f>
        <v>0.0482060699598526</v>
      </c>
      <c r="K55" s="6" t="n">
        <f aca="false">IFERROR(AA55/AD55-1,"")</f>
        <v>0.149470362857787</v>
      </c>
      <c r="L55" s="3" t="str">
        <f aca="false">IF(OR(J55="",K55=""),"n/a (new)",IF(J55&gt;=0,IF(K55&gt;=0,"Long Buildup","Short Covering"),IF(K55&gt;=0,"Short Buildup","Long Unwinding")))</f>
        <v>Long Buildup</v>
      </c>
      <c r="M55" s="6" t="n">
        <f aca="false">IFERROR(V55/Z55-1,"")</f>
        <v>-0.0145284231793554</v>
      </c>
      <c r="N55" s="6" t="n">
        <f aca="false">IFERROR(AA55/AE55-1,"")</f>
        <v>-0.00847622380341384</v>
      </c>
      <c r="O55" s="3" t="str">
        <f aca="false">IF(OR(M55="",N55=""),"n/a (new)",IF(M55&gt;=0,IF(N55&gt;=0,"Long Buildup","Short Covering"),IF(N55&gt;=0,"Short Buildup","Long Unwinding")))</f>
        <v>Long Unwinding</v>
      </c>
      <c r="P55" s="7" t="n">
        <f aca="false">IFERROR(AF55/AG55,"")</f>
        <v>0.795807385317077</v>
      </c>
      <c r="Q55" s="7" t="n">
        <f aca="false">IFERROR(AH55/AI55,"")</f>
        <v>0.756955059614797</v>
      </c>
      <c r="V55" s="9" t="n">
        <v>1073.08</v>
      </c>
      <c r="W55" s="9" t="n">
        <v>1071.6</v>
      </c>
      <c r="X55" s="9" t="n">
        <v>1121.03</v>
      </c>
      <c r="Y55" s="9" t="n">
        <v>1023.73</v>
      </c>
      <c r="Z55" s="9" t="n">
        <v>1088.9</v>
      </c>
      <c r="AA55" s="10" t="n">
        <v>12750500</v>
      </c>
      <c r="AB55" s="10" t="n">
        <v>12408500</v>
      </c>
      <c r="AC55" s="10" t="n">
        <v>11630000</v>
      </c>
      <c r="AD55" s="10" t="n">
        <v>11092500</v>
      </c>
      <c r="AE55" s="10" t="n">
        <v>12859500</v>
      </c>
      <c r="AF55" s="10" t="n">
        <v>4536500</v>
      </c>
      <c r="AG55" s="10" t="n">
        <v>5700500</v>
      </c>
      <c r="AH55" s="10" t="n">
        <v>2476000</v>
      </c>
      <c r="AI55" s="10" t="n">
        <v>3271000</v>
      </c>
    </row>
    <row r="56" customFormat="false" ht="15" hidden="false" customHeight="false" outlineLevel="0" collapsed="false">
      <c r="A56" s="3" t="n">
        <v>53</v>
      </c>
      <c r="B56" s="4" t="s">
        <v>90</v>
      </c>
      <c r="C56" s="5" t="n">
        <v>-1.39</v>
      </c>
      <c r="D56" s="6" t="n">
        <f aca="false">IFERROR(V56/W56-1,"")</f>
        <v>0.00749340369393137</v>
      </c>
      <c r="E56" s="6" t="n">
        <f aca="false">IFERROR(AA56/AB56-1,"")</f>
        <v>0.0334203757112792</v>
      </c>
      <c r="F56" s="3" t="str">
        <f aca="false">IF(OR(D56="",E56=""),"n/a (new)",IF(D56&gt;=0,IF(E56&gt;=0,"Long Buildup","Short Covering"),IF(E56&gt;=0,"Short Buildup","Long Unwinding")))</f>
        <v>Long Buildup</v>
      </c>
      <c r="G56" s="6" t="n">
        <f aca="false">IFERROR(V56/X56-1,"")</f>
        <v>-0.00380902687190199</v>
      </c>
      <c r="H56" s="6" t="n">
        <f aca="false">IFERROR(AA56/AC56-1,"")</f>
        <v>0.0624048401314208</v>
      </c>
      <c r="I56" s="3" t="str">
        <f aca="false">IF(OR(G56="",H56=""),"n/a (new)",IF(G56&gt;=0,IF(H56&gt;=0,"Long Buildup","Short Covering"),IF(H56&gt;=0,"Short Buildup","Long Unwinding")))</f>
        <v>Short Buildup</v>
      </c>
      <c r="J56" s="6" t="n">
        <f aca="false">IFERROR(V56/Y56-1,"")</f>
        <v>0.0236997319034853</v>
      </c>
      <c r="K56" s="6" t="n">
        <f aca="false">IFERROR(AA56/AD56-1,"")</f>
        <v>0.034731029638446</v>
      </c>
      <c r="L56" s="3" t="str">
        <f aca="false">IF(OR(J56="",K56=""),"n/a (new)",IF(J56&gt;=0,IF(K56&gt;=0,"Long Buildup","Short Covering"),IF(K56&gt;=0,"Short Buildup","Long Unwinding")))</f>
        <v>Long Buildup</v>
      </c>
      <c r="M56" s="6" t="n">
        <f aca="false">IFERROR(V56/Z56-1,"")</f>
        <v>-0.000680450143941469</v>
      </c>
      <c r="N56" s="6" t="n">
        <f aca="false">IFERROR(AA56/AE56-1,"")</f>
        <v>-0.0790031260854464</v>
      </c>
      <c r="O56" s="3" t="str">
        <f aca="false">IF(OR(M56="",N56=""),"n/a (new)",IF(M56&gt;=0,IF(N56&gt;=0,"Long Buildup","Short Covering"),IF(N56&gt;=0,"Short Buildup","Long Unwinding")))</f>
        <v>Long Unwinding</v>
      </c>
      <c r="P56" s="7" t="n">
        <f aca="false">IFERROR(AF56/AG56,"")</f>
        <v>0.585078318219291</v>
      </c>
      <c r="Q56" s="7" t="n">
        <f aca="false">IFERROR(AH56/AI56,"")</f>
        <v>0.723807623228897</v>
      </c>
      <c r="V56" s="9" t="n">
        <v>381.84</v>
      </c>
      <c r="W56" s="9" t="n">
        <v>379</v>
      </c>
      <c r="X56" s="9" t="n">
        <v>383.3</v>
      </c>
      <c r="Y56" s="9" t="n">
        <v>373</v>
      </c>
      <c r="Z56" s="9" t="n">
        <v>382.1</v>
      </c>
      <c r="AA56" s="10" t="n">
        <v>90152700</v>
      </c>
      <c r="AB56" s="10" t="n">
        <v>87237200</v>
      </c>
      <c r="AC56" s="10" t="n">
        <v>84857200</v>
      </c>
      <c r="AD56" s="10" t="n">
        <v>87126700</v>
      </c>
      <c r="AE56" s="10" t="n">
        <v>97886000</v>
      </c>
      <c r="AF56" s="10" t="n">
        <v>12064900</v>
      </c>
      <c r="AG56" s="10" t="n">
        <v>20621000</v>
      </c>
      <c r="AH56" s="10" t="n">
        <v>12331800</v>
      </c>
      <c r="AI56" s="10" t="n">
        <v>17037400</v>
      </c>
    </row>
    <row r="57" customFormat="false" ht="15" hidden="false" customHeight="false" outlineLevel="0" collapsed="false">
      <c r="A57" s="3" t="n">
        <v>54</v>
      </c>
      <c r="B57" s="4" t="s">
        <v>91</v>
      </c>
      <c r="C57" s="5" t="n">
        <v>-1.76</v>
      </c>
      <c r="D57" s="6" t="n">
        <f aca="false">IFERROR(V57/W57-1,"")</f>
        <v>-0.00462809917355367</v>
      </c>
      <c r="E57" s="6" t="n">
        <f aca="false">IFERROR(AA57/AB57-1,"")</f>
        <v>-0.0171643400819698</v>
      </c>
      <c r="F57" s="3" t="str">
        <f aca="false">IF(OR(D57="",E57=""),"n/a (new)",IF(D57&gt;=0,IF(E57&gt;=0,"Long Buildup","Short Covering"),IF(E57&gt;=0,"Short Buildup","Long Unwinding")))</f>
        <v>Long Unwinding</v>
      </c>
      <c r="G57" s="6" t="n">
        <f aca="false">IFERROR(V57/X57-1,"")</f>
        <v>-0.0217673814165041</v>
      </c>
      <c r="H57" s="6" t="n">
        <f aca="false">IFERROR(AA57/AC57-1,"")</f>
        <v>-0.0153437683307092</v>
      </c>
      <c r="I57" s="3" t="str">
        <f aca="false">IF(OR(G57="",H57=""),"n/a (new)",IF(G57&gt;=0,IF(H57&gt;=0,"Long Buildup","Short Covering"),IF(H57&gt;=0,"Short Buildup","Long Unwinding")))</f>
        <v>Long Unwinding</v>
      </c>
      <c r="J57" s="6" t="n">
        <f aca="false">IFERROR(V57/Y57-1,"")</f>
        <v>0.0207125665276791</v>
      </c>
      <c r="K57" s="6" t="n">
        <f aca="false">IFERROR(AA57/AD57-1,"")</f>
        <v>0.0107751790581225</v>
      </c>
      <c r="L57" s="3" t="str">
        <f aca="false">IF(OR(J57="",K57=""),"n/a (new)",IF(J57&gt;=0,IF(K57&gt;=0,"Long Buildup","Short Covering"),IF(K57&gt;=0,"Short Buildup","Long Unwinding")))</f>
        <v>Long Buildup</v>
      </c>
      <c r="M57" s="6" t="n">
        <f aca="false">IFERROR(V57/Z57-1,"")</f>
        <v>-0.0195695353456415</v>
      </c>
      <c r="N57" s="6" t="n">
        <f aca="false">IFERROR(AA57/AE57-1,"")</f>
        <v>-0.115946447875378</v>
      </c>
      <c r="O57" s="3" t="str">
        <f aca="false">IF(OR(M57="",N57=""),"n/a (new)",IF(M57&gt;=0,IF(N57&gt;=0,"Long Buildup","Short Covering"),IF(N57&gt;=0,"Short Buildup","Long Unwinding")))</f>
        <v>Long Unwinding</v>
      </c>
      <c r="P57" s="7" t="n">
        <f aca="false">IFERROR(AF57/AG57,"")</f>
        <v>1.00091240875912</v>
      </c>
      <c r="Q57" s="7" t="n">
        <f aca="false">IFERROR(AH57/AI57,"")</f>
        <v>1.03070747616658</v>
      </c>
      <c r="V57" s="9" t="n">
        <v>301.1</v>
      </c>
      <c r="W57" s="9" t="n">
        <v>302.5</v>
      </c>
      <c r="X57" s="9" t="n">
        <v>307.8</v>
      </c>
      <c r="Y57" s="9" t="n">
        <v>294.99</v>
      </c>
      <c r="Z57" s="9" t="n">
        <v>307.11</v>
      </c>
      <c r="AA57" s="10" t="n">
        <v>50233050</v>
      </c>
      <c r="AB57" s="10" t="n">
        <v>51110325</v>
      </c>
      <c r="AC57" s="10" t="n">
        <v>51015825</v>
      </c>
      <c r="AD57" s="10" t="n">
        <v>49697550</v>
      </c>
      <c r="AE57" s="10" t="n">
        <v>56821275</v>
      </c>
      <c r="AF57" s="10" t="n">
        <v>17277750</v>
      </c>
      <c r="AG57" s="10" t="n">
        <v>17262000</v>
      </c>
      <c r="AH57" s="10" t="n">
        <v>16176825</v>
      </c>
      <c r="AI57" s="10" t="n">
        <v>15694875</v>
      </c>
    </row>
    <row r="58" customFormat="false" ht="15" hidden="false" customHeight="false" outlineLevel="0" collapsed="false">
      <c r="A58" s="3" t="n">
        <v>55</v>
      </c>
      <c r="B58" s="4" t="s">
        <v>92</v>
      </c>
      <c r="C58" s="5" t="n">
        <v>-2.28</v>
      </c>
      <c r="D58" s="6" t="n">
        <f aca="false">IFERROR(V58/W58-1,"")</f>
        <v>0.00139697322467991</v>
      </c>
      <c r="E58" s="6" t="n">
        <f aca="false">IFERROR(AA58/AB58-1,"")</f>
        <v>-0.00596421471172959</v>
      </c>
      <c r="F58" s="3" t="str">
        <f aca="false">IF(OR(D58="",E58=""),"n/a (new)",IF(D58&gt;=0,IF(E58&gt;=0,"Long Buildup","Short Covering"),IF(E58&gt;=0,"Short Buildup","Long Unwinding")))</f>
        <v>Short Covering</v>
      </c>
      <c r="G58" s="6" t="n">
        <f aca="false">IFERROR(V58/X58-1,"")</f>
        <v>0.00608187134502924</v>
      </c>
      <c r="H58" s="6" t="n">
        <f aca="false">IFERROR(AA58/AC58-1,"")</f>
        <v>-0.00773963087914265</v>
      </c>
      <c r="I58" s="3" t="str">
        <f aca="false">IF(OR(G58="",H58=""),"n/a (new)",IF(G58&gt;=0,IF(H58&gt;=0,"Long Buildup","Short Covering"),IF(H58&gt;=0,"Short Buildup","Long Unwinding")))</f>
        <v>Short Covering</v>
      </c>
      <c r="J58" s="6" t="n">
        <f aca="false">IFERROR(V58/Y58-1,"")</f>
        <v>-0.00554913294797688</v>
      </c>
      <c r="K58" s="6" t="n">
        <f aca="false">IFERROR(AA58/AD58-1,"")</f>
        <v>0.000500250125062607</v>
      </c>
      <c r="L58" s="3" t="str">
        <f aca="false">IF(OR(J58="",K58=""),"n/a (new)",IF(J58&gt;=0,IF(K58&gt;=0,"Long Buildup","Short Covering"),IF(K58&gt;=0,"Short Buildup","Long Unwinding")))</f>
        <v>Short Buildup</v>
      </c>
      <c r="M58" s="6" t="n">
        <f aca="false">IFERROR(V58/Z58-1,"")</f>
        <v>-0.0153500990144343</v>
      </c>
      <c r="N58" s="6" t="n">
        <f aca="false">IFERROR(AA58/AE58-1,"")</f>
        <v>-0.235649315906138</v>
      </c>
      <c r="O58" s="3" t="str">
        <f aca="false">IF(OR(M58="",N58=""),"n/a (new)",IF(M58&gt;=0,IF(N58&gt;=0,"Long Buildup","Short Covering"),IF(N58&gt;=0,"Short Buildup","Long Unwinding")))</f>
        <v>Long Unwinding</v>
      </c>
      <c r="P58" s="7" t="n">
        <f aca="false">IFERROR(AF58/AG58,"")</f>
        <v>1.18816844919786</v>
      </c>
      <c r="Q58" s="7" t="n">
        <f aca="false">IFERROR(AH58/AI58,"")</f>
        <v>1.02408064215046</v>
      </c>
      <c r="V58" s="9" t="n">
        <v>860.2</v>
      </c>
      <c r="W58" s="9" t="n">
        <v>859</v>
      </c>
      <c r="X58" s="9" t="n">
        <v>855</v>
      </c>
      <c r="Y58" s="9" t="n">
        <v>865</v>
      </c>
      <c r="Z58" s="9" t="n">
        <v>873.61</v>
      </c>
      <c r="AA58" s="10" t="n">
        <v>10000000</v>
      </c>
      <c r="AB58" s="10" t="n">
        <v>10060000</v>
      </c>
      <c r="AC58" s="10" t="n">
        <v>10078000</v>
      </c>
      <c r="AD58" s="10" t="n">
        <v>9995000</v>
      </c>
      <c r="AE58" s="10" t="n">
        <v>13083000</v>
      </c>
      <c r="AF58" s="10" t="n">
        <v>3555000</v>
      </c>
      <c r="AG58" s="10" t="n">
        <v>2992000</v>
      </c>
      <c r="AH58" s="10" t="n">
        <v>2743000</v>
      </c>
      <c r="AI58" s="10" t="n">
        <v>2678500</v>
      </c>
    </row>
    <row r="59" customFormat="false" ht="15" hidden="false" customHeight="false" outlineLevel="0" collapsed="false">
      <c r="A59" s="3" t="n">
        <v>56</v>
      </c>
      <c r="B59" s="4" t="s">
        <v>93</v>
      </c>
      <c r="C59" s="5" t="n">
        <v>-2.39</v>
      </c>
      <c r="D59" s="6" t="n">
        <f aca="false">IFERROR(V59/W59-1,"")</f>
        <v>-0.0126315016431968</v>
      </c>
      <c r="E59" s="6" t="n">
        <f aca="false">IFERROR(AA59/AB59-1,"")</f>
        <v>0.0928111199594586</v>
      </c>
      <c r="F59" s="3" t="str">
        <f aca="false">IF(OR(D59="",E59=""),"n/a (new)",IF(D59&gt;=0,IF(E59&gt;=0,"Long Buildup","Short Covering"),IF(E59&gt;=0,"Short Buildup","Long Unwinding")))</f>
        <v>Short Buildup</v>
      </c>
      <c r="G59" s="6" t="n">
        <f aca="false">IFERROR(V59/X59-1,"")</f>
        <v>-0.0309566282862138</v>
      </c>
      <c r="H59" s="6" t="n">
        <f aca="false">IFERROR(AA59/AC59-1,"")</f>
        <v>0.0716314070708506</v>
      </c>
      <c r="I59" s="3" t="str">
        <f aca="false">IF(OR(G59="",H59=""),"n/a (new)",IF(G59&gt;=0,IF(H59&gt;=0,"Long Buildup","Short Covering"),IF(H59&gt;=0,"Short Buildup","Long Unwinding")))</f>
        <v>Short Buildup</v>
      </c>
      <c r="J59" s="6" t="n">
        <f aca="false">IFERROR(V59/Y59-1,"")</f>
        <v>0.141538069665259</v>
      </c>
      <c r="K59" s="6" t="n">
        <f aca="false">IFERROR(AA59/AD59-1,"")</f>
        <v>-0.00625411454904545</v>
      </c>
      <c r="L59" s="3" t="str">
        <f aca="false">IF(OR(J59="",K59=""),"n/a (new)",IF(J59&gt;=0,IF(K59&gt;=0,"Long Buildup","Short Covering"),IF(K59&gt;=0,"Short Buildup","Long Unwinding")))</f>
        <v>Short Covering</v>
      </c>
      <c r="M59" s="6" t="n">
        <f aca="false">IFERROR(V59/Z59-1,"")</f>
        <v>0.0165393921064569</v>
      </c>
      <c r="N59" s="6" t="n">
        <f aca="false">IFERROR(AA59/AE59-1,"")</f>
        <v>-0.118951730578416</v>
      </c>
      <c r="O59" s="3" t="str">
        <f aca="false">IF(OR(M59="",N59=""),"n/a (new)",IF(M59&gt;=0,IF(N59&gt;=0,"Long Buildup","Short Covering"),IF(N59&gt;=0,"Short Buildup","Long Unwinding")))</f>
        <v>Short Covering</v>
      </c>
      <c r="P59" s="7" t="n">
        <f aca="false">IFERROR(AF59/AG59,"")</f>
        <v>0.627001421127428</v>
      </c>
      <c r="Q59" s="7" t="n">
        <f aca="false">IFERROR(AH59/AI59,"")</f>
        <v>0.472032098182676</v>
      </c>
      <c r="V59" s="9" t="n">
        <v>537.79</v>
      </c>
      <c r="W59" s="9" t="n">
        <v>544.67</v>
      </c>
      <c r="X59" s="9" t="n">
        <v>554.97</v>
      </c>
      <c r="Y59" s="9" t="n">
        <v>471.11</v>
      </c>
      <c r="Z59" s="9" t="n">
        <v>529.04</v>
      </c>
      <c r="AA59" s="10" t="n">
        <v>11698625</v>
      </c>
      <c r="AB59" s="10" t="n">
        <v>10705075</v>
      </c>
      <c r="AC59" s="10" t="n">
        <v>10916650</v>
      </c>
      <c r="AD59" s="10" t="n">
        <v>11772250</v>
      </c>
      <c r="AE59" s="10" t="n">
        <v>13278075</v>
      </c>
      <c r="AF59" s="10" t="n">
        <v>5128950</v>
      </c>
      <c r="AG59" s="10" t="n">
        <v>8180125</v>
      </c>
      <c r="AH59" s="10" t="n">
        <v>3100000</v>
      </c>
      <c r="AI59" s="10" t="n">
        <v>6567350</v>
      </c>
    </row>
    <row r="60" customFormat="false" ht="15" hidden="false" customHeight="false" outlineLevel="0" collapsed="false">
      <c r="A60" s="3" t="n">
        <v>57</v>
      </c>
      <c r="B60" s="4" t="s">
        <v>94</v>
      </c>
      <c r="C60" s="5" t="n">
        <v>-2.39</v>
      </c>
      <c r="D60" s="6" t="n">
        <f aca="false">IFERROR(V60/W60-1,"")</f>
        <v>0.000428306590807503</v>
      </c>
      <c r="E60" s="6" t="n">
        <f aca="false">IFERROR(AA60/AB60-1,"")</f>
        <v>-0.00912385554425232</v>
      </c>
      <c r="F60" s="3" t="str">
        <f aca="false">IF(OR(D60="",E60=""),"n/a (new)",IF(D60&gt;=0,IF(E60&gt;=0,"Long Buildup","Short Covering"),IF(E60&gt;=0,"Short Buildup","Long Unwinding")))</f>
        <v>Short Covering</v>
      </c>
      <c r="G60" s="6" t="n">
        <f aca="false">IFERROR(V60/X60-1,"")</f>
        <v>-0.0239069419322646</v>
      </c>
      <c r="H60" s="6" t="n">
        <f aca="false">IFERROR(AA60/AC60-1,"")</f>
        <v>-0.0053293336737299</v>
      </c>
      <c r="I60" s="3" t="str">
        <f aca="false">IF(OR(G60="",H60=""),"n/a (new)",IF(G60&gt;=0,IF(H60&gt;=0,"Long Buildup","Short Covering"),IF(H60&gt;=0,"Short Buildup","Long Unwinding")))</f>
        <v>Long Unwinding</v>
      </c>
      <c r="J60" s="6" t="n">
        <f aca="false">IFERROR(V60/Y60-1,"")</f>
        <v>0.0201690970841508</v>
      </c>
      <c r="K60" s="6" t="n">
        <f aca="false">IFERROR(AA60/AD60-1,"")</f>
        <v>0.0275607424257409</v>
      </c>
      <c r="L60" s="3" t="str">
        <f aca="false">IF(OR(J60="",K60=""),"n/a (new)",IF(J60&gt;=0,IF(K60&gt;=0,"Long Buildup","Short Covering"),IF(K60&gt;=0,"Short Buildup","Long Unwinding")))</f>
        <v>Long Buildup</v>
      </c>
      <c r="M60" s="6" t="n">
        <f aca="false">IFERROR(V60/Z60-1,"")</f>
        <v>-0.0791585760517799</v>
      </c>
      <c r="N60" s="6" t="n">
        <f aca="false">IFERROR(AA60/AE60-1,"")</f>
        <v>0.0111925772125616</v>
      </c>
      <c r="O60" s="3" t="str">
        <f aca="false">IF(OR(M60="",N60=""),"n/a (new)",IF(M60&gt;=0,IF(N60&gt;=0,"Long Buildup","Short Covering"),IF(N60&gt;=0,"Short Buildup","Long Unwinding")))</f>
        <v>Short Buildup</v>
      </c>
      <c r="P60" s="7" t="n">
        <f aca="false">IFERROR(AF60/AG60,"")</f>
        <v>0.719568690095847</v>
      </c>
      <c r="Q60" s="7" t="n">
        <f aca="false">IFERROR(AH60/AI60,"")</f>
        <v>0.826902093046325</v>
      </c>
      <c r="V60" s="9" t="n">
        <v>1564.97</v>
      </c>
      <c r="W60" s="9" t="n">
        <v>1564.3</v>
      </c>
      <c r="X60" s="9" t="n">
        <v>1603.3</v>
      </c>
      <c r="Y60" s="9" t="n">
        <v>1534.03</v>
      </c>
      <c r="Z60" s="9" t="n">
        <v>1699.5</v>
      </c>
      <c r="AA60" s="10" t="n">
        <v>10129925</v>
      </c>
      <c r="AB60" s="10" t="n">
        <v>10223200</v>
      </c>
      <c r="AC60" s="10" t="n">
        <v>10184200</v>
      </c>
      <c r="AD60" s="10" t="n">
        <v>9858225</v>
      </c>
      <c r="AE60" s="10" t="n">
        <v>10017800</v>
      </c>
      <c r="AF60" s="10" t="n">
        <v>2927925</v>
      </c>
      <c r="AG60" s="10" t="n">
        <v>4069000</v>
      </c>
      <c r="AH60" s="10" t="n">
        <v>2709200</v>
      </c>
      <c r="AI60" s="10" t="n">
        <v>3276325</v>
      </c>
    </row>
    <row r="61" customFormat="false" ht="15" hidden="false" customHeight="false" outlineLevel="0" collapsed="false">
      <c r="A61" s="3" t="n">
        <v>58</v>
      </c>
      <c r="B61" s="4" t="s">
        <v>95</v>
      </c>
      <c r="C61" s="5" t="n">
        <v>-2.66</v>
      </c>
      <c r="D61" s="6" t="n">
        <f aca="false">IFERROR(V61/W61-1,"")</f>
        <v>0.00182409746980028</v>
      </c>
      <c r="E61" s="6" t="n">
        <f aca="false">IFERROR(AA61/AB61-1,"")</f>
        <v>-0.014701325529351</v>
      </c>
      <c r="F61" s="3" t="str">
        <f aca="false">IF(OR(D61="",E61=""),"n/a (new)",IF(D61&gt;=0,IF(E61&gt;=0,"Long Buildup","Short Covering"),IF(E61&gt;=0,"Short Buildup","Long Unwinding")))</f>
        <v>Short Covering</v>
      </c>
      <c r="G61" s="6" t="n">
        <f aca="false">IFERROR(V61/X61-1,"")</f>
        <v>-0.00877739726027405</v>
      </c>
      <c r="H61" s="6" t="n">
        <f aca="false">IFERROR(AA61/AC61-1,"")</f>
        <v>-0.0454939630444934</v>
      </c>
      <c r="I61" s="3" t="str">
        <f aca="false">IF(OR(G61="",H61=""),"n/a (new)",IF(G61&gt;=0,IF(H61&gt;=0,"Long Buildup","Short Covering"),IF(H61&gt;=0,"Short Buildup","Long Unwinding")))</f>
        <v>Long Unwinding</v>
      </c>
      <c r="J61" s="6" t="n">
        <f aca="false">IFERROR(V61/Y61-1,"")</f>
        <v>0.0131439852703354</v>
      </c>
      <c r="K61" s="6" t="n">
        <f aca="false">IFERROR(AA61/AD61-1,"")</f>
        <v>-0.0112289672805169</v>
      </c>
      <c r="L61" s="3" t="str">
        <f aca="false">IF(OR(J61="",K61=""),"n/a (new)",IF(J61&gt;=0,IF(K61&gt;=0,"Long Buildup","Short Covering"),IF(K61&gt;=0,"Short Buildup","Long Unwinding")))</f>
        <v>Short Covering</v>
      </c>
      <c r="M61" s="6" t="n">
        <f aca="false">IFERROR(V61/Z61-1,"")</f>
        <v>-0.0747490569656671</v>
      </c>
      <c r="N61" s="6" t="n">
        <f aca="false">IFERROR(AA61/AE61-1,"")</f>
        <v>-0.135198839598695</v>
      </c>
      <c r="O61" s="3" t="str">
        <f aca="false">IF(OR(M61="",N61=""),"n/a (new)",IF(M61&gt;=0,IF(N61&gt;=0,"Long Buildup","Short Covering"),IF(N61&gt;=0,"Short Buildup","Long Unwinding")))</f>
        <v>Long Unwinding</v>
      </c>
      <c r="P61" s="7" t="n">
        <f aca="false">IFERROR(AF61/AG61,"")</f>
        <v>0.923329502544738</v>
      </c>
      <c r="Q61" s="7" t="n">
        <f aca="false">IFERROR(AH61/AI61,"")</f>
        <v>0.64963503649635</v>
      </c>
      <c r="V61" s="9" t="n">
        <v>2894.37</v>
      </c>
      <c r="W61" s="9" t="n">
        <v>2889.1</v>
      </c>
      <c r="X61" s="9" t="n">
        <v>2920</v>
      </c>
      <c r="Y61" s="9" t="n">
        <v>2856.82</v>
      </c>
      <c r="Z61" s="9" t="n">
        <v>3128.2</v>
      </c>
      <c r="AA61" s="10" t="n">
        <v>7154500</v>
      </c>
      <c r="AB61" s="10" t="n">
        <v>7261250</v>
      </c>
      <c r="AC61" s="10" t="n">
        <v>7495500</v>
      </c>
      <c r="AD61" s="10" t="n">
        <v>7235750</v>
      </c>
      <c r="AE61" s="10" t="n">
        <v>8273000</v>
      </c>
      <c r="AF61" s="10" t="n">
        <v>1406000</v>
      </c>
      <c r="AG61" s="10" t="n">
        <v>1522750</v>
      </c>
      <c r="AH61" s="10" t="n">
        <v>1090250</v>
      </c>
      <c r="AI61" s="10" t="n">
        <v>1678250</v>
      </c>
    </row>
    <row r="62" customFormat="false" ht="15" hidden="false" customHeight="false" outlineLevel="0" collapsed="false">
      <c r="A62" s="3" t="n">
        <v>59</v>
      </c>
      <c r="B62" s="4" t="s">
        <v>96</v>
      </c>
      <c r="C62" s="5" t="n">
        <v>-2.67</v>
      </c>
      <c r="D62" s="6" t="n">
        <f aca="false">IFERROR(V62/W62-1,"")</f>
        <v>-0.00654450261780104</v>
      </c>
      <c r="E62" s="6" t="n">
        <f aca="false">IFERROR(AA62/AB62-1,"")</f>
        <v>-0.0372018052869116</v>
      </c>
      <c r="F62" s="3" t="str">
        <f aca="false">IF(OR(D62="",E62=""),"n/a (new)",IF(D62&gt;=0,IF(E62&gt;=0,"Long Buildup","Short Covering"),IF(E62&gt;=0,"Short Buildup","Long Unwinding")))</f>
        <v>Long Unwinding</v>
      </c>
      <c r="G62" s="6" t="n">
        <f aca="false">IFERROR(V62/X62-1,"")</f>
        <v>-0.0250565184626979</v>
      </c>
      <c r="H62" s="6" t="n">
        <f aca="false">IFERROR(AA62/AC62-1,"")</f>
        <v>-0.0513309192554475</v>
      </c>
      <c r="I62" s="3" t="str">
        <f aca="false">IF(OR(G62="",H62=""),"n/a (new)",IF(G62&gt;=0,IF(H62&gt;=0,"Long Buildup","Short Covering"),IF(H62&gt;=0,"Short Buildup","Long Unwinding")))</f>
        <v>Long Unwinding</v>
      </c>
      <c r="J62" s="6" t="n">
        <f aca="false">IFERROR(V62/Y62-1,"")</f>
        <v>-0.01</v>
      </c>
      <c r="K62" s="6" t="n">
        <f aca="false">IFERROR(AA62/AD62-1,"")</f>
        <v>-0.0866666666666667</v>
      </c>
      <c r="L62" s="3" t="str">
        <f aca="false">IF(OR(J62="",K62=""),"n/a (new)",IF(J62&gt;=0,IF(K62&gt;=0,"Long Buildup","Short Covering"),IF(K62&gt;=0,"Short Buildup","Long Unwinding")))</f>
        <v>Long Unwinding</v>
      </c>
      <c r="M62" s="6" t="n">
        <f aca="false">IFERROR(V62/Z62-1,"")</f>
        <v>0.0114605543710022</v>
      </c>
      <c r="N62" s="6" t="n">
        <f aca="false">IFERROR(AA62/AE62-1,"")</f>
        <v>-0.126163028848967</v>
      </c>
      <c r="O62" s="3" t="str">
        <f aca="false">IF(OR(M62="",N62=""),"n/a (new)",IF(M62&gt;=0,IF(N62&gt;=0,"Long Buildup","Short Covering"),IF(N62&gt;=0,"Short Buildup","Long Unwinding")))</f>
        <v>Short Covering</v>
      </c>
      <c r="P62" s="7" t="n">
        <f aca="false">IFERROR(AF62/AG62,"")</f>
        <v>0.742230347349177</v>
      </c>
      <c r="Q62" s="7" t="n">
        <f aca="false">IFERROR(AH62/AI62,"")</f>
        <v>0.582278481012658</v>
      </c>
      <c r="V62" s="9" t="n">
        <v>1138.5</v>
      </c>
      <c r="W62" s="9" t="n">
        <v>1146</v>
      </c>
      <c r="X62" s="9" t="n">
        <v>1167.76</v>
      </c>
      <c r="Y62" s="9" t="n">
        <v>1150</v>
      </c>
      <c r="Z62" s="9" t="n">
        <v>1125.6</v>
      </c>
      <c r="AA62" s="10" t="n">
        <v>9706450</v>
      </c>
      <c r="AB62" s="10" t="n">
        <v>10081500</v>
      </c>
      <c r="AC62" s="10" t="n">
        <v>10231650</v>
      </c>
      <c r="AD62" s="10" t="n">
        <v>10627500</v>
      </c>
      <c r="AE62" s="10" t="n">
        <v>11107850</v>
      </c>
      <c r="AF62" s="10" t="n">
        <v>1847300</v>
      </c>
      <c r="AG62" s="10" t="n">
        <v>2488850</v>
      </c>
      <c r="AH62" s="10" t="n">
        <v>1255800</v>
      </c>
      <c r="AI62" s="10" t="n">
        <v>2156700</v>
      </c>
    </row>
    <row r="63" customFormat="false" ht="15" hidden="false" customHeight="false" outlineLevel="0" collapsed="false">
      <c r="A63" s="3" t="n">
        <v>60</v>
      </c>
      <c r="B63" s="4" t="s">
        <v>97</v>
      </c>
      <c r="C63" s="5" t="n">
        <v>-2.78</v>
      </c>
      <c r="D63" s="6" t="n">
        <f aca="false">IFERROR(V63/W63-1,"")</f>
        <v>0.00196891664008025</v>
      </c>
      <c r="E63" s="6" t="n">
        <f aca="false">IFERROR(AA63/AB63-1,"")</f>
        <v>-0.00492755514945831</v>
      </c>
      <c r="F63" s="3" t="str">
        <f aca="false">IF(OR(D63="",E63=""),"n/a (new)",IF(D63&gt;=0,IF(E63&gt;=0,"Long Buildup","Short Covering"),IF(E63&gt;=0,"Short Buildup","Long Unwinding")))</f>
        <v>Short Covering</v>
      </c>
      <c r="G63" s="6" t="n">
        <f aca="false">IFERROR(V63/X63-1,"")</f>
        <v>-0.0127004086765167</v>
      </c>
      <c r="H63" s="6" t="n">
        <f aca="false">IFERROR(AA63/AC63-1,"")</f>
        <v>-0.00573869379503733</v>
      </c>
      <c r="I63" s="3" t="str">
        <f aca="false">IF(OR(G63="",H63=""),"n/a (new)",IF(G63&gt;=0,IF(H63&gt;=0,"Long Buildup","Short Covering"),IF(H63&gt;=0,"Short Buildup","Long Unwinding")))</f>
        <v>Long Unwinding</v>
      </c>
      <c r="J63" s="6" t="n">
        <f aca="false">IFERROR(V63/Y63-1,"")</f>
        <v>0.0028053113895643</v>
      </c>
      <c r="K63" s="6" t="n">
        <f aca="false">IFERROR(AA63/AD63-1,"")</f>
        <v>0.0560712059292097</v>
      </c>
      <c r="L63" s="3" t="str">
        <f aca="false">IF(OR(J63="",K63=""),"n/a (new)",IF(J63&gt;=0,IF(K63&gt;=0,"Long Buildup","Short Covering"),IF(K63&gt;=0,"Short Buildup","Long Unwinding")))</f>
        <v>Long Buildup</v>
      </c>
      <c r="M63" s="6" t="n">
        <f aca="false">IFERROR(V63/Z63-1,"")</f>
        <v>-0.10684163484196</v>
      </c>
      <c r="N63" s="6" t="n">
        <f aca="false">IFERROR(AA63/AE63-1,"")</f>
        <v>0.00530792562310434</v>
      </c>
      <c r="O63" s="3" t="str">
        <f aca="false">IF(OR(M63="",N63=""),"n/a (new)",IF(M63&gt;=0,IF(N63&gt;=0,"Long Buildup","Short Covering"),IF(N63&gt;=0,"Short Buildup","Long Unwinding")))</f>
        <v>Short Buildup</v>
      </c>
      <c r="P63" s="7" t="n">
        <f aca="false">IFERROR(AF63/AG63,"")</f>
        <v>0.487868425337893</v>
      </c>
      <c r="Q63" s="7" t="n">
        <f aca="false">IFERROR(AH63/AI63,"")</f>
        <v>0.53066141042488</v>
      </c>
      <c r="V63" s="9" t="n">
        <v>2198.42</v>
      </c>
      <c r="W63" s="9" t="n">
        <v>2194.1</v>
      </c>
      <c r="X63" s="9" t="n">
        <v>2226.7</v>
      </c>
      <c r="Y63" s="9" t="n">
        <v>2192.27</v>
      </c>
      <c r="Z63" s="9" t="n">
        <v>2461.4</v>
      </c>
      <c r="AA63" s="10" t="n">
        <v>11434875</v>
      </c>
      <c r="AB63" s="10" t="n">
        <v>11491500</v>
      </c>
      <c r="AC63" s="10" t="n">
        <v>11500875</v>
      </c>
      <c r="AD63" s="10" t="n">
        <v>10827750</v>
      </c>
      <c r="AE63" s="10" t="n">
        <v>11374500</v>
      </c>
      <c r="AF63" s="10" t="n">
        <v>1123500</v>
      </c>
      <c r="AG63" s="10" t="n">
        <v>2302875</v>
      </c>
      <c r="AH63" s="10" t="n">
        <v>908625</v>
      </c>
      <c r="AI63" s="10" t="n">
        <v>1712250</v>
      </c>
    </row>
    <row r="64" customFormat="false" ht="15" hidden="false" customHeight="false" outlineLevel="0" collapsed="false">
      <c r="A64" s="3" t="n">
        <v>61</v>
      </c>
      <c r="B64" s="4" t="s">
        <v>98</v>
      </c>
      <c r="C64" s="5" t="n">
        <v>-3.03</v>
      </c>
      <c r="D64" s="6" t="n">
        <f aca="false">IFERROR(V64/W64-1,"")</f>
        <v>-0.00112951807228912</v>
      </c>
      <c r="E64" s="6" t="n">
        <f aca="false">IFERROR(AA64/AB64-1,"")</f>
        <v>-0.0323556521944648</v>
      </c>
      <c r="F64" s="3" t="str">
        <f aca="false">IF(OR(D64="",E64=""),"n/a (new)",IF(D64&gt;=0,IF(E64&gt;=0,"Long Buildup","Short Covering"),IF(E64&gt;=0,"Short Buildup","Long Unwinding")))</f>
        <v>Long Unwinding</v>
      </c>
      <c r="G64" s="6" t="n">
        <f aca="false">IFERROR(V64/X64-1,"")</f>
        <v>-0.0174074074074074</v>
      </c>
      <c r="H64" s="6" t="n">
        <f aca="false">IFERROR(AA64/AC64-1,"")</f>
        <v>0.0194467269241303</v>
      </c>
      <c r="I64" s="3" t="str">
        <f aca="false">IF(OR(G64="",H64=""),"n/a (new)",IF(G64&gt;=0,IF(H64&gt;=0,"Long Buildup","Short Covering"),IF(H64&gt;=0,"Short Buildup","Long Unwinding")))</f>
        <v>Short Buildup</v>
      </c>
      <c r="J64" s="6" t="n">
        <f aca="false">IFERROR(V64/Y64-1,"")</f>
        <v>0.0412905251589606</v>
      </c>
      <c r="K64" s="6" t="n">
        <f aca="false">IFERROR(AA64/AD64-1,"")</f>
        <v>0.00921908893709333</v>
      </c>
      <c r="L64" s="3" t="str">
        <f aca="false">IF(OR(J64="",K64=""),"n/a (new)",IF(J64&gt;=0,IF(K64&gt;=0,"Long Buildup","Short Covering"),IF(K64&gt;=0,"Short Buildup","Long Unwinding")))</f>
        <v>Long Buildup</v>
      </c>
      <c r="M64" s="6" t="n">
        <f aca="false">IFERROR(V64/Z64-1,"")</f>
        <v>-0.00933532486930544</v>
      </c>
      <c r="N64" s="6" t="n">
        <f aca="false">IFERROR(AA64/AE64-1,"")</f>
        <v>-0.0902384285492078</v>
      </c>
      <c r="O64" s="3" t="str">
        <f aca="false">IF(OR(M64="",N64=""),"n/a (new)",IF(M64&gt;=0,IF(N64&gt;=0,"Long Buildup","Short Covering"),IF(N64&gt;=0,"Short Buildup","Long Unwinding")))</f>
        <v>Long Unwinding</v>
      </c>
      <c r="P64" s="7" t="n">
        <f aca="false">IFERROR(AF64/AG64,"")</f>
        <v>0.730876559422193</v>
      </c>
      <c r="Q64" s="7" t="n">
        <f aca="false">IFERROR(AH64/AI64,"")</f>
        <v>0.670467270691235</v>
      </c>
      <c r="V64" s="9" t="n">
        <v>663.25</v>
      </c>
      <c r="W64" s="9" t="n">
        <v>664</v>
      </c>
      <c r="X64" s="9" t="n">
        <v>675</v>
      </c>
      <c r="Y64" s="9" t="n">
        <v>636.95</v>
      </c>
      <c r="Z64" s="9" t="n">
        <v>669.5</v>
      </c>
      <c r="AA64" s="10" t="n">
        <v>38894900</v>
      </c>
      <c r="AB64" s="10" t="n">
        <v>40195450</v>
      </c>
      <c r="AC64" s="10" t="n">
        <v>38152950</v>
      </c>
      <c r="AD64" s="10" t="n">
        <v>38539600</v>
      </c>
      <c r="AE64" s="10" t="n">
        <v>42752850</v>
      </c>
      <c r="AF64" s="10" t="n">
        <v>8459750</v>
      </c>
      <c r="AG64" s="10" t="n">
        <v>11574800</v>
      </c>
      <c r="AH64" s="10" t="n">
        <v>6256700</v>
      </c>
      <c r="AI64" s="10" t="n">
        <v>9331850</v>
      </c>
    </row>
    <row r="65" customFormat="false" ht="15" hidden="false" customHeight="false" outlineLevel="0" collapsed="false">
      <c r="A65" s="3" t="n">
        <v>62</v>
      </c>
      <c r="B65" s="4" t="s">
        <v>99</v>
      </c>
      <c r="C65" s="5" t="n">
        <v>-3.25</v>
      </c>
      <c r="D65" s="6" t="n">
        <f aca="false">IFERROR(V65/W65-1,"")</f>
        <v>-0.00497391304347827</v>
      </c>
      <c r="E65" s="6" t="n">
        <f aca="false">IFERROR(AA65/AB65-1,"")</f>
        <v>-0.0112743152044462</v>
      </c>
      <c r="F65" s="3" t="str">
        <f aca="false">IF(OR(D65="",E65=""),"n/a (new)",IF(D65&gt;=0,IF(E65&gt;=0,"Long Buildup","Short Covering"),IF(E65&gt;=0,"Short Buildup","Long Unwinding")))</f>
        <v>Long Unwinding</v>
      </c>
      <c r="G65" s="6" t="n">
        <f aca="false">IFERROR(V65/X65-1,"")</f>
        <v>-0.0279316320636108</v>
      </c>
      <c r="H65" s="6" t="n">
        <f aca="false">IFERROR(AA65/AC65-1,"")</f>
        <v>-0.0161564289946672</v>
      </c>
      <c r="I65" s="3" t="str">
        <f aca="false">IF(OR(G65="",H65=""),"n/a (new)",IF(G65&gt;=0,IF(H65&gt;=0,"Long Buildup","Short Covering"),IF(H65&gt;=0,"Short Buildup","Long Unwinding")))</f>
        <v>Long Unwinding</v>
      </c>
      <c r="J65" s="6" t="n">
        <f aca="false">IFERROR(V65/Y65-1,"")</f>
        <v>0.0022773456660361</v>
      </c>
      <c r="K65" s="6" t="n">
        <f aca="false">IFERROR(AA65/AD65-1,"")</f>
        <v>0.0338300610186377</v>
      </c>
      <c r="L65" s="3" t="str">
        <f aca="false">IF(OR(J65="",K65=""),"n/a (new)",IF(J65&gt;=0,IF(K65&gt;=0,"Long Buildup","Short Covering"),IF(K65&gt;=0,"Short Buildup","Long Unwinding")))</f>
        <v>Long Buildup</v>
      </c>
      <c r="M65" s="6" t="n">
        <f aca="false">IFERROR(V65/Z65-1,"")</f>
        <v>-0.00199353099193123</v>
      </c>
      <c r="N65" s="6" t="n">
        <f aca="false">IFERROR(AA65/AE65-1,"")</f>
        <v>0.0997968736200654</v>
      </c>
      <c r="O65" s="3" t="str">
        <f aca="false">IF(OR(M65="",N65=""),"n/a (new)",IF(M65&gt;=0,IF(N65&gt;=0,"Long Buildup","Short Covering"),IF(N65&gt;=0,"Short Buildup","Long Unwinding")))</f>
        <v>Short Buildup</v>
      </c>
      <c r="P65" s="7" t="n">
        <f aca="false">IFERROR(AF65/AG65,"")</f>
        <v>0.615668833390352</v>
      </c>
      <c r="Q65" s="7" t="n">
        <f aca="false">IFERROR(AH65/AI65,"")</f>
        <v>0.848369033863657</v>
      </c>
      <c r="V65" s="9" t="n">
        <v>2002.49</v>
      </c>
      <c r="W65" s="9" t="n">
        <v>2012.5</v>
      </c>
      <c r="X65" s="9" t="n">
        <v>2060.03</v>
      </c>
      <c r="Y65" s="9" t="n">
        <v>1997.94</v>
      </c>
      <c r="Z65" s="9" t="n">
        <v>2006.49</v>
      </c>
      <c r="AA65" s="10" t="n">
        <v>21170100</v>
      </c>
      <c r="AB65" s="10" t="n">
        <v>21411500</v>
      </c>
      <c r="AC65" s="10" t="n">
        <v>21517750</v>
      </c>
      <c r="AD65" s="10" t="n">
        <v>20477350</v>
      </c>
      <c r="AE65" s="10" t="n">
        <v>19249100</v>
      </c>
      <c r="AF65" s="10" t="n">
        <v>7648300</v>
      </c>
      <c r="AG65" s="10" t="n">
        <v>12422750</v>
      </c>
      <c r="AH65" s="10" t="n">
        <v>8113250</v>
      </c>
      <c r="AI65" s="10" t="n">
        <v>9563350</v>
      </c>
    </row>
    <row r="66" customFormat="false" ht="15" hidden="false" customHeight="false" outlineLevel="0" collapsed="false">
      <c r="A66" s="3" t="n">
        <v>63</v>
      </c>
      <c r="B66" s="4" t="s">
        <v>100</v>
      </c>
      <c r="C66" s="5" t="n">
        <v>-3.39</v>
      </c>
      <c r="D66" s="6" t="n">
        <f aca="false">IFERROR(V66/W66-1,"")</f>
        <v>-0.00248503256133459</v>
      </c>
      <c r="E66" s="6" t="n">
        <f aca="false">IFERROR(AA66/AB66-1,"")</f>
        <v>-0.00684345594525238</v>
      </c>
      <c r="F66" s="3" t="str">
        <f aca="false">IF(OR(D66="",E66=""),"n/a (new)",IF(D66&gt;=0,IF(E66&gt;=0,"Long Buildup","Short Covering"),IF(E66&gt;=0,"Short Buildup","Long Unwinding")))</f>
        <v>Long Unwinding</v>
      </c>
      <c r="G66" s="6" t="n">
        <f aca="false">IFERROR(V66/X66-1,"")</f>
        <v>-0.014360052702325</v>
      </c>
      <c r="H66" s="6" t="n">
        <f aca="false">IFERROR(AA66/AC66-1,"")</f>
        <v>0.0202108963093146</v>
      </c>
      <c r="I66" s="3" t="str">
        <f aca="false">IF(OR(G66="",H66=""),"n/a (new)",IF(G66&gt;=0,IF(H66&gt;=0,"Long Buildup","Short Covering"),IF(H66&gt;=0,"Short Buildup","Long Unwinding")))</f>
        <v>Short Buildup</v>
      </c>
      <c r="J66" s="6" t="n">
        <f aca="false">IFERROR(V66/Y66-1,"")</f>
        <v>0.0144441172240448</v>
      </c>
      <c r="K66" s="6" t="n">
        <f aca="false">IFERROR(AA66/AD66-1,"")</f>
        <v>0.024612669150814</v>
      </c>
      <c r="L66" s="3" t="str">
        <f aca="false">IF(OR(J66="",K66=""),"n/a (new)",IF(J66&gt;=0,IF(K66&gt;=0,"Long Buildup","Short Covering"),IF(K66&gt;=0,"Short Buildup","Long Unwinding")))</f>
        <v>Long Buildup</v>
      </c>
      <c r="M66" s="6" t="n">
        <f aca="false">IFERROR(V66/Z66-1,"")</f>
        <v>-0.0581801996566415</v>
      </c>
      <c r="N66" s="6" t="n">
        <f aca="false">IFERROR(AA66/AE66-1,"")</f>
        <v>-0.0160090403992843</v>
      </c>
      <c r="O66" s="3" t="str">
        <f aca="false">IF(OR(M66="",N66=""),"n/a (new)",IF(M66&gt;=0,IF(N66&gt;=0,"Long Buildup","Short Covering"),IF(N66&gt;=0,"Short Buildup","Long Unwinding")))</f>
        <v>Long Unwinding</v>
      </c>
      <c r="P66" s="7" t="n">
        <f aca="false">IFERROR(AF66/AG66,"")</f>
        <v>1.11375346809354</v>
      </c>
      <c r="Q66" s="7" t="n">
        <f aca="false">IFERROR(AH66/AI66,"")</f>
        <v>1.15257439773264</v>
      </c>
      <c r="V66" s="9" t="n">
        <v>1481.2</v>
      </c>
      <c r="W66" s="9" t="n">
        <v>1484.89</v>
      </c>
      <c r="X66" s="9" t="n">
        <v>1502.78</v>
      </c>
      <c r="Y66" s="9" t="n">
        <v>1460.11</v>
      </c>
      <c r="Z66" s="9" t="n">
        <v>1572.7</v>
      </c>
      <c r="AA66" s="10" t="n">
        <v>5224500</v>
      </c>
      <c r="AB66" s="10" t="n">
        <v>5260500</v>
      </c>
      <c r="AC66" s="10" t="n">
        <v>5121000</v>
      </c>
      <c r="AD66" s="10" t="n">
        <v>5099000</v>
      </c>
      <c r="AE66" s="10" t="n">
        <v>5309500</v>
      </c>
      <c r="AF66" s="10" t="n">
        <v>1405000</v>
      </c>
      <c r="AG66" s="10" t="n">
        <v>1261500</v>
      </c>
      <c r="AH66" s="10" t="n">
        <v>1220000</v>
      </c>
      <c r="AI66" s="10" t="n">
        <v>1058500</v>
      </c>
    </row>
    <row r="67" customFormat="false" ht="15" hidden="false" customHeight="false" outlineLevel="0" collapsed="false">
      <c r="A67" s="3" t="n">
        <v>64</v>
      </c>
      <c r="B67" s="4" t="s">
        <v>101</v>
      </c>
      <c r="C67" s="5" t="n">
        <v>-3.55</v>
      </c>
      <c r="D67" s="6" t="n">
        <f aca="false">IFERROR(V67/W67-1,"")</f>
        <v>-0.000777453838678333</v>
      </c>
      <c r="E67" s="6" t="n">
        <f aca="false">IFERROR(AA67/AB67-1,"")</f>
        <v>0.00261693112901895</v>
      </c>
      <c r="F67" s="3" t="str">
        <f aca="false">IF(OR(D67="",E67=""),"n/a (new)",IF(D67&gt;=0,IF(E67&gt;=0,"Long Buildup","Short Covering"),IF(E67&gt;=0,"Short Buildup","Long Unwinding")))</f>
        <v>Short Buildup</v>
      </c>
      <c r="G67" s="6" t="n">
        <f aca="false">IFERROR(V67/X67-1,"")</f>
        <v>-0.0384363602356681</v>
      </c>
      <c r="H67" s="6" t="n">
        <f aca="false">IFERROR(AA67/AC67-1,"")</f>
        <v>-0.00078655406524264</v>
      </c>
      <c r="I67" s="3" t="str">
        <f aca="false">IF(OR(G67="",H67=""),"n/a (new)",IF(G67&gt;=0,IF(H67&gt;=0,"Long Buildup","Short Covering"),IF(H67&gt;=0,"Short Buildup","Long Unwinding")))</f>
        <v>Long Unwinding</v>
      </c>
      <c r="J67" s="6" t="n">
        <f aca="false">IFERROR(V67/Y67-1,"")</f>
        <v>0.0686594466501758</v>
      </c>
      <c r="K67" s="6" t="n">
        <f aca="false">IFERROR(AA67/AD67-1,"")</f>
        <v>0.0156532716179256</v>
      </c>
      <c r="L67" s="3" t="str">
        <f aca="false">IF(OR(J67="",K67=""),"n/a (new)",IF(J67&gt;=0,IF(K67&gt;=0,"Long Buildup","Short Covering"),IF(K67&gt;=0,"Short Buildup","Long Unwinding")))</f>
        <v>Long Buildup</v>
      </c>
      <c r="M67" s="6" t="n">
        <f aca="false">IFERROR(V67/Z67-1,"")</f>
        <v>-0.0818003214859796</v>
      </c>
      <c r="N67" s="6" t="n">
        <f aca="false">IFERROR(AA67/AE67-1,"")</f>
        <v>0.0343689736447397</v>
      </c>
      <c r="O67" s="3" t="str">
        <f aca="false">IF(OR(M67="",N67=""),"n/a (new)",IF(M67&gt;=0,IF(N67&gt;=0,"Long Buildup","Short Covering"),IF(N67&gt;=0,"Short Buildup","Long Unwinding")))</f>
        <v>Short Buildup</v>
      </c>
      <c r="P67" s="7" t="n">
        <f aca="false">IFERROR(AF67/AG67,"")</f>
        <v>0.788792490399659</v>
      </c>
      <c r="Q67" s="7" t="n">
        <f aca="false">IFERROR(AH67/AI67,"")</f>
        <v>0.551605064586264</v>
      </c>
      <c r="V67" s="9" t="n">
        <v>514.1</v>
      </c>
      <c r="W67" s="9" t="n">
        <v>514.5</v>
      </c>
      <c r="X67" s="9" t="n">
        <v>534.65</v>
      </c>
      <c r="Y67" s="9" t="n">
        <v>481.07</v>
      </c>
      <c r="Z67" s="9" t="n">
        <v>559.9</v>
      </c>
      <c r="AA67" s="10" t="n">
        <v>32705635</v>
      </c>
      <c r="AB67" s="10" t="n">
        <v>32620270</v>
      </c>
      <c r="AC67" s="10" t="n">
        <v>32731380</v>
      </c>
      <c r="AD67" s="10" t="n">
        <v>32201575</v>
      </c>
      <c r="AE67" s="10" t="n">
        <v>31618925</v>
      </c>
      <c r="AF67" s="10" t="n">
        <v>7514830</v>
      </c>
      <c r="AG67" s="10" t="n">
        <v>9527005</v>
      </c>
      <c r="AH67" s="10" t="n">
        <v>5844115</v>
      </c>
      <c r="AI67" s="10" t="n">
        <v>10594745</v>
      </c>
    </row>
    <row r="68" customFormat="false" ht="15" hidden="false" customHeight="false" outlineLevel="0" collapsed="false">
      <c r="A68" s="3" t="n">
        <v>65</v>
      </c>
      <c r="B68" s="4" t="s">
        <v>102</v>
      </c>
      <c r="C68" s="5" t="n">
        <v>-3.61</v>
      </c>
      <c r="D68" s="6" t="n">
        <f aca="false">IFERROR(V68/W68-1,"")</f>
        <v>0.00514115075577992</v>
      </c>
      <c r="E68" s="6" t="n">
        <f aca="false">IFERROR(AA68/AB68-1,"")</f>
        <v>-0.0547483533541232</v>
      </c>
      <c r="F68" s="3" t="str">
        <f aca="false">IF(OR(D68="",E68=""),"n/a (new)",IF(D68&gt;=0,IF(E68&gt;=0,"Long Buildup","Short Covering"),IF(E68&gt;=0,"Short Buildup","Long Unwinding")))</f>
        <v>Short Covering</v>
      </c>
      <c r="G68" s="6" t="n">
        <f aca="false">IFERROR(V68/X68-1,"")</f>
        <v>-0.0291406482307464</v>
      </c>
      <c r="H68" s="6" t="n">
        <f aca="false">IFERROR(AA68/AC68-1,"")</f>
        <v>-0.0719444215613587</v>
      </c>
      <c r="I68" s="3" t="str">
        <f aca="false">IF(OR(G68="",H68=""),"n/a (new)",IF(G68&gt;=0,IF(H68&gt;=0,"Long Buildup","Short Covering"),IF(H68&gt;=0,"Short Buildup","Long Unwinding")))</f>
        <v>Long Unwinding</v>
      </c>
      <c r="J68" s="6" t="n">
        <f aca="false">IFERROR(V68/Y68-1,"")</f>
        <v>-0.020930790452201</v>
      </c>
      <c r="K68" s="6" t="n">
        <f aca="false">IFERROR(AA68/AD68-1,"")</f>
        <v>0.0580905718266205</v>
      </c>
      <c r="L68" s="3" t="str">
        <f aca="false">IF(OR(J68="",K68=""),"n/a (new)",IF(J68&gt;=0,IF(K68&gt;=0,"Long Buildup","Short Covering"),IF(K68&gt;=0,"Short Buildup","Long Unwinding")))</f>
        <v>Short Buildup</v>
      </c>
      <c r="M68" s="6" t="n">
        <f aca="false">IFERROR(V68/Z68-1,"")</f>
        <v>0.00927357032457499</v>
      </c>
      <c r="N68" s="6" t="n">
        <f aca="false">IFERROR(AA68/AE68-1,"")</f>
        <v>-0.0212704342412</v>
      </c>
      <c r="O68" s="3" t="str">
        <f aca="false">IF(OR(M68="",N68=""),"n/a (new)",IF(M68&gt;=0,IF(N68&gt;=0,"Long Buildup","Short Covering"),IF(N68&gt;=0,"Short Buildup","Long Unwinding")))</f>
        <v>Short Covering</v>
      </c>
      <c r="P68" s="7" t="n">
        <f aca="false">IFERROR(AF68/AG68,"")</f>
        <v>0.699153545098753</v>
      </c>
      <c r="Q68" s="7" t="n">
        <f aca="false">IFERROR(AH68/AI68,"")</f>
        <v>0.697155593726356</v>
      </c>
      <c r="V68" s="9" t="n">
        <v>3265</v>
      </c>
      <c r="W68" s="9" t="n">
        <v>3248.3</v>
      </c>
      <c r="X68" s="9" t="n">
        <v>3363</v>
      </c>
      <c r="Y68" s="9" t="n">
        <v>3334.8</v>
      </c>
      <c r="Z68" s="9" t="n">
        <v>3235</v>
      </c>
      <c r="AA68" s="10" t="n">
        <v>13518800</v>
      </c>
      <c r="AB68" s="10" t="n">
        <v>14301800</v>
      </c>
      <c r="AC68" s="10" t="n">
        <v>14566800</v>
      </c>
      <c r="AD68" s="10" t="n">
        <v>12776600</v>
      </c>
      <c r="AE68" s="10" t="n">
        <v>13812600</v>
      </c>
      <c r="AF68" s="10" t="n">
        <v>7681600</v>
      </c>
      <c r="AG68" s="10" t="n">
        <v>10987000</v>
      </c>
      <c r="AH68" s="10" t="n">
        <v>6818600</v>
      </c>
      <c r="AI68" s="10" t="n">
        <v>9780600</v>
      </c>
    </row>
    <row r="69" customFormat="false" ht="15" hidden="false" customHeight="false" outlineLevel="0" collapsed="false">
      <c r="A69" s="3" t="n">
        <v>66</v>
      </c>
      <c r="B69" s="4" t="s">
        <v>103</v>
      </c>
      <c r="C69" s="5" t="n">
        <v>-3.69</v>
      </c>
      <c r="D69" s="6" t="n">
        <f aca="false">IFERROR(V69/W69-1,"")</f>
        <v>-0.0115804509743904</v>
      </c>
      <c r="E69" s="6" t="n">
        <f aca="false">IFERROR(AA69/AB69-1,"")</f>
        <v>0.01439797768863</v>
      </c>
      <c r="F69" s="3" t="str">
        <f aca="false">IF(OR(D69="",E69=""),"n/a (new)",IF(D69&gt;=0,IF(E69&gt;=0,"Long Buildup","Short Covering"),IF(E69&gt;=0,"Short Buildup","Long Unwinding")))</f>
        <v>Short Buildup</v>
      </c>
      <c r="G69" s="6" t="n">
        <f aca="false">IFERROR(V69/X69-1,"")</f>
        <v>-0.0257454618595062</v>
      </c>
      <c r="H69" s="6" t="n">
        <f aca="false">IFERROR(AA69/AC69-1,"")</f>
        <v>0.040471224846401</v>
      </c>
      <c r="I69" s="3" t="str">
        <f aca="false">IF(OR(G69="",H69=""),"n/a (new)",IF(G69&gt;=0,IF(H69&gt;=0,"Long Buildup","Short Covering"),IF(H69&gt;=0,"Short Buildup","Long Unwinding")))</f>
        <v>Short Buildup</v>
      </c>
      <c r="J69" s="6" t="n">
        <f aca="false">IFERROR(V69/Y69-1,"")</f>
        <v>0.0217534607778511</v>
      </c>
      <c r="K69" s="6" t="n">
        <f aca="false">IFERROR(AA69/AD69-1,"")</f>
        <v>0.107252114450243</v>
      </c>
      <c r="L69" s="3" t="str">
        <f aca="false">IF(OR(J69="",K69=""),"n/a (new)",IF(J69&gt;=0,IF(K69&gt;=0,"Long Buildup","Short Covering"),IF(K69&gt;=0,"Short Buildup","Long Unwinding")))</f>
        <v>Long Buildup</v>
      </c>
      <c r="M69" s="6" t="n">
        <f aca="false">IFERROR(V69/Z69-1,"")</f>
        <v>-0.0421219162505563</v>
      </c>
      <c r="N69" s="6" t="n">
        <f aca="false">IFERROR(AA69/AE69-1,"")</f>
        <v>-0.042359471868434</v>
      </c>
      <c r="O69" s="3" t="str">
        <f aca="false">IF(OR(M69="",N69=""),"n/a (new)",IF(M69&gt;=0,IF(N69&gt;=0,"Long Buildup","Short Covering"),IF(N69&gt;=0,"Short Buildup","Long Unwinding")))</f>
        <v>Long Unwinding</v>
      </c>
      <c r="P69" s="7" t="n">
        <f aca="false">IFERROR(AF69/AG69,"")</f>
        <v>0.701062091503268</v>
      </c>
      <c r="Q69" s="7" t="n">
        <f aca="false">IFERROR(AH69/AI69,"")</f>
        <v>0.623555166374781</v>
      </c>
      <c r="V69" s="9" t="n">
        <v>387.5</v>
      </c>
      <c r="W69" s="9" t="n">
        <v>392.04</v>
      </c>
      <c r="X69" s="9" t="n">
        <v>397.74</v>
      </c>
      <c r="Y69" s="9" t="n">
        <v>379.25</v>
      </c>
      <c r="Z69" s="9" t="n">
        <v>404.54</v>
      </c>
      <c r="AA69" s="10" t="n">
        <v>51685200</v>
      </c>
      <c r="AB69" s="10" t="n">
        <v>50951600</v>
      </c>
      <c r="AC69" s="10" t="n">
        <v>49674800</v>
      </c>
      <c r="AD69" s="10" t="n">
        <v>46678800</v>
      </c>
      <c r="AE69" s="10" t="n">
        <v>53971400</v>
      </c>
      <c r="AF69" s="10" t="n">
        <v>12013400</v>
      </c>
      <c r="AG69" s="10" t="n">
        <v>17136000</v>
      </c>
      <c r="AH69" s="10" t="n">
        <v>9969400</v>
      </c>
      <c r="AI69" s="10" t="n">
        <v>15988000</v>
      </c>
    </row>
    <row r="70" customFormat="false" ht="15" hidden="false" customHeight="false" outlineLevel="0" collapsed="false">
      <c r="A70" s="3" t="n">
        <v>67</v>
      </c>
      <c r="B70" s="4" t="s">
        <v>104</v>
      </c>
      <c r="C70" s="5" t="n">
        <v>-3.8</v>
      </c>
      <c r="D70" s="6" t="n">
        <f aca="false">IFERROR(V70/W70-1,"")</f>
        <v>-0.0216087613293051</v>
      </c>
      <c r="E70" s="6" t="n">
        <f aca="false">IFERROR(AA70/AB70-1,"")</f>
        <v>0.00349560184521924</v>
      </c>
      <c r="F70" s="3" t="str">
        <f aca="false">IF(OR(D70="",E70=""),"n/a (new)",IF(D70&gt;=0,IF(E70&gt;=0,"Long Buildup","Short Covering"),IF(E70&gt;=0,"Short Buildup","Long Unwinding")))</f>
        <v>Short Buildup</v>
      </c>
      <c r="G70" s="6" t="n">
        <f aca="false">IFERROR(V70/X70-1,"")</f>
        <v>-0.0516146981089253</v>
      </c>
      <c r="H70" s="6" t="n">
        <f aca="false">IFERROR(AA70/AC70-1,"")</f>
        <v>-0.000142742948498364</v>
      </c>
      <c r="I70" s="3" t="str">
        <f aca="false">IF(OR(G70="",H70=""),"n/a (new)",IF(G70&gt;=0,IF(H70&gt;=0,"Long Buildup","Short Covering"),IF(H70&gt;=0,"Short Buildup","Long Unwinding")))</f>
        <v>Long Unwinding</v>
      </c>
      <c r="J70" s="6" t="n">
        <f aca="false">IFERROR(V70/Y70-1,"")</f>
        <v>0.0350368346197485</v>
      </c>
      <c r="K70" s="6" t="n">
        <f aca="false">IFERROR(AA70/AD70-1,"")</f>
        <v>-0.0116827045178768</v>
      </c>
      <c r="L70" s="3" t="str">
        <f aca="false">IF(OR(J70="",K70=""),"n/a (new)",IF(J70&gt;=0,IF(K70&gt;=0,"Long Buildup","Short Covering"),IF(K70&gt;=0,"Short Buildup","Long Unwinding")))</f>
        <v>Short Covering</v>
      </c>
      <c r="M70" s="6" t="n">
        <f aca="false">IFERROR(V70/Z70-1,"")</f>
        <v>-0.0624868823865733</v>
      </c>
      <c r="N70" s="6" t="n">
        <f aca="false">IFERROR(AA70/AE70-1,"")</f>
        <v>-0.0152673902041275</v>
      </c>
      <c r="O70" s="3" t="str">
        <f aca="false">IF(OR(M70="",N70=""),"n/a (new)",IF(M70&gt;=0,IF(N70&gt;=0,"Long Buildup","Short Covering"),IF(N70&gt;=0,"Short Buildup","Long Unwinding")))</f>
        <v>Long Unwinding</v>
      </c>
      <c r="P70" s="7" t="n">
        <f aca="false">IFERROR(AF70/AG70,"")</f>
        <v>0.646199189487904</v>
      </c>
      <c r="Q70" s="7" t="n">
        <f aca="false">IFERROR(AH70/AI70,"")</f>
        <v>0.486136226642556</v>
      </c>
      <c r="V70" s="9" t="n">
        <v>1295.39</v>
      </c>
      <c r="W70" s="9" t="n">
        <v>1324</v>
      </c>
      <c r="X70" s="9" t="n">
        <v>1365.89</v>
      </c>
      <c r="Y70" s="9" t="n">
        <v>1251.54</v>
      </c>
      <c r="Z70" s="9" t="n">
        <v>1381.73</v>
      </c>
      <c r="AA70" s="10" t="n">
        <v>23640525</v>
      </c>
      <c r="AB70" s="10" t="n">
        <v>23558175</v>
      </c>
      <c r="AC70" s="10" t="n">
        <v>23643900</v>
      </c>
      <c r="AD70" s="10" t="n">
        <v>23919975</v>
      </c>
      <c r="AE70" s="10" t="n">
        <v>24007050</v>
      </c>
      <c r="AF70" s="10" t="n">
        <v>3551850</v>
      </c>
      <c r="AG70" s="10" t="n">
        <v>5496525</v>
      </c>
      <c r="AH70" s="10" t="n">
        <v>2177550</v>
      </c>
      <c r="AI70" s="10" t="n">
        <v>4479300</v>
      </c>
    </row>
    <row r="71" customFormat="false" ht="15" hidden="false" customHeight="false" outlineLevel="0" collapsed="false">
      <c r="A71" s="3" t="n">
        <v>68</v>
      </c>
      <c r="B71" s="4" t="s">
        <v>105</v>
      </c>
      <c r="C71" s="5" t="n">
        <v>-3.84</v>
      </c>
      <c r="D71" s="6" t="n">
        <f aca="false">IFERROR(V71/W71-1,"")</f>
        <v>0.00825568291823253</v>
      </c>
      <c r="E71" s="6" t="n">
        <f aca="false">IFERROR(AA71/AB71-1,"")</f>
        <v>-0.0157688859913617</v>
      </c>
      <c r="F71" s="3" t="str">
        <f aca="false">IF(OR(D71="",E71=""),"n/a (new)",IF(D71&gt;=0,IF(E71&gt;=0,"Long Buildup","Short Covering"),IF(E71&gt;=0,"Short Buildup","Long Unwinding")))</f>
        <v>Short Covering</v>
      </c>
      <c r="G71" s="6" t="n">
        <f aca="false">IFERROR(V71/X71-1,"")</f>
        <v>-0.0240372278620794</v>
      </c>
      <c r="H71" s="6" t="n">
        <f aca="false">IFERROR(AA71/AC71-1,"")</f>
        <v>-0.00886299290139925</v>
      </c>
      <c r="I71" s="3" t="str">
        <f aca="false">IF(OR(G71="",H71=""),"n/a (new)",IF(G71&gt;=0,IF(H71&gt;=0,"Long Buildup","Short Covering"),IF(H71&gt;=0,"Short Buildup","Long Unwinding")))</f>
        <v>Long Unwinding</v>
      </c>
      <c r="J71" s="6" t="n">
        <f aca="false">IFERROR(V71/Y71-1,"")</f>
        <v>0.0537424199031242</v>
      </c>
      <c r="K71" s="6" t="n">
        <f aca="false">IFERROR(AA71/AD71-1,"")</f>
        <v>-0.119491123828965</v>
      </c>
      <c r="L71" s="3" t="str">
        <f aca="false">IF(OR(J71="",K71=""),"n/a (new)",IF(J71&gt;=0,IF(K71&gt;=0,"Long Buildup","Short Covering"),IF(K71&gt;=0,"Short Buildup","Long Unwinding")))</f>
        <v>Short Covering</v>
      </c>
      <c r="M71" s="6" t="n">
        <f aca="false">IFERROR(V71/Z71-1,"")</f>
        <v>-0.10631073984798</v>
      </c>
      <c r="N71" s="6" t="n">
        <f aca="false">IFERROR(AA71/AE71-1,"")</f>
        <v>0.0499434930018257</v>
      </c>
      <c r="O71" s="3" t="str">
        <f aca="false">IF(OR(M71="",N71=""),"n/a (new)",IF(M71&gt;=0,IF(N71&gt;=0,"Long Buildup","Short Covering"),IF(N71&gt;=0,"Short Buildup","Long Unwinding")))</f>
        <v>Short Buildup</v>
      </c>
      <c r="P71" s="7" t="n">
        <f aca="false">IFERROR(AF71/AG71,"")</f>
        <v>0.722696555134333</v>
      </c>
      <c r="Q71" s="7" t="n">
        <f aca="false">IFERROR(AH71/AI71,"")</f>
        <v>0.471400531116499</v>
      </c>
      <c r="V71" s="9" t="n">
        <v>10155</v>
      </c>
      <c r="W71" s="9" t="n">
        <v>10071.85</v>
      </c>
      <c r="X71" s="9" t="n">
        <v>10405.11</v>
      </c>
      <c r="Y71" s="9" t="n">
        <v>9637.08</v>
      </c>
      <c r="Z71" s="9" t="n">
        <v>11363.01</v>
      </c>
      <c r="AA71" s="10" t="n">
        <v>1811625</v>
      </c>
      <c r="AB71" s="10" t="n">
        <v>1840650</v>
      </c>
      <c r="AC71" s="10" t="n">
        <v>1827825</v>
      </c>
      <c r="AD71" s="10" t="n">
        <v>2057475</v>
      </c>
      <c r="AE71" s="10" t="n">
        <v>1725450</v>
      </c>
      <c r="AF71" s="10" t="n">
        <v>1644225</v>
      </c>
      <c r="AG71" s="10" t="n">
        <v>2275125</v>
      </c>
      <c r="AH71" s="10" t="n">
        <v>1531050</v>
      </c>
      <c r="AI71" s="10" t="n">
        <v>3247875</v>
      </c>
    </row>
    <row r="72" customFormat="false" ht="15" hidden="false" customHeight="false" outlineLevel="0" collapsed="false">
      <c r="A72" s="3" t="n">
        <v>69</v>
      </c>
      <c r="B72" s="4" t="s">
        <v>106</v>
      </c>
      <c r="C72" s="5" t="n">
        <v>-4.03</v>
      </c>
      <c r="D72" s="6" t="n">
        <f aca="false">IFERROR(V72/W72-1,"")</f>
        <v>0.00864785992217909</v>
      </c>
      <c r="E72" s="6" t="n">
        <f aca="false">IFERROR(AA72/AB72-1,"")</f>
        <v>0.00742869156913595</v>
      </c>
      <c r="F72" s="3" t="str">
        <f aca="false">IF(OR(D72="",E72=""),"n/a (new)",IF(D72&gt;=0,IF(E72&gt;=0,"Long Buildup","Short Covering"),IF(E72&gt;=0,"Short Buildup","Long Unwinding")))</f>
        <v>Long Buildup</v>
      </c>
      <c r="G72" s="6" t="n">
        <f aca="false">IFERROR(V72/X72-1,"")</f>
        <v>-0.00774177496220019</v>
      </c>
      <c r="H72" s="6" t="n">
        <f aca="false">IFERROR(AA72/AC72-1,"")</f>
        <v>0.0110423406948938</v>
      </c>
      <c r="I72" s="3" t="str">
        <f aca="false">IF(OR(G72="",H72=""),"n/a (new)",IF(G72&gt;=0,IF(H72&gt;=0,"Long Buildup","Short Covering"),IF(H72&gt;=0,"Short Buildup","Long Unwinding")))</f>
        <v>Short Buildup</v>
      </c>
      <c r="J72" s="6" t="n">
        <f aca="false">IFERROR(V72/Y72-1,"")</f>
        <v>0.0266237623762378</v>
      </c>
      <c r="K72" s="6" t="n">
        <f aca="false">IFERROR(AA72/AD72-1,"")</f>
        <v>0.0616299250396957</v>
      </c>
      <c r="L72" s="3" t="str">
        <f aca="false">IF(OR(J72="",K72=""),"n/a (new)",IF(J72&gt;=0,IF(K72&gt;=0,"Long Buildup","Short Covering"),IF(K72&gt;=0,"Short Buildup","Long Unwinding")))</f>
        <v>Long Buildup</v>
      </c>
      <c r="M72" s="6" t="n">
        <f aca="false">IFERROR(V72/Z72-1,"")</f>
        <v>-0.0912206280620874</v>
      </c>
      <c r="N72" s="6" t="n">
        <f aca="false">IFERROR(AA72/AE72-1,"")</f>
        <v>0.107771741224521</v>
      </c>
      <c r="O72" s="3" t="str">
        <f aca="false">IF(OR(M72="",N72=""),"n/a (new)",IF(M72&gt;=0,IF(N72&gt;=0,"Long Buildup","Short Covering"),IF(N72&gt;=0,"Short Buildup","Long Unwinding")))</f>
        <v>Short Buildup</v>
      </c>
      <c r="P72" s="7" t="n">
        <f aca="false">IFERROR(AF72/AG72,"")</f>
        <v>0.855179934569248</v>
      </c>
      <c r="Q72" s="7" t="n">
        <f aca="false">IFERROR(AH72/AI72,"")</f>
        <v>0.770186335403727</v>
      </c>
      <c r="V72" s="9" t="n">
        <v>1036.89</v>
      </c>
      <c r="W72" s="9" t="n">
        <v>1028</v>
      </c>
      <c r="X72" s="9" t="n">
        <v>1044.98</v>
      </c>
      <c r="Y72" s="9" t="n">
        <v>1010</v>
      </c>
      <c r="Z72" s="9" t="n">
        <v>1140.97</v>
      </c>
      <c r="AA72" s="10" t="n">
        <v>17968750</v>
      </c>
      <c r="AB72" s="10" t="n">
        <v>17836250</v>
      </c>
      <c r="AC72" s="10" t="n">
        <v>17772500</v>
      </c>
      <c r="AD72" s="10" t="n">
        <v>16925625</v>
      </c>
      <c r="AE72" s="10" t="n">
        <v>16220625</v>
      </c>
      <c r="AF72" s="10" t="n">
        <v>4901250</v>
      </c>
      <c r="AG72" s="10" t="n">
        <v>5731250</v>
      </c>
      <c r="AH72" s="10" t="n">
        <v>4650000</v>
      </c>
      <c r="AI72" s="10" t="n">
        <v>6037500</v>
      </c>
    </row>
    <row r="73" customFormat="false" ht="15" hidden="false" customHeight="false" outlineLevel="0" collapsed="false">
      <c r="A73" s="3" t="n">
        <v>70</v>
      </c>
      <c r="B73" s="4" t="s">
        <v>107</v>
      </c>
      <c r="C73" s="5" t="n">
        <v>-4.17</v>
      </c>
      <c r="D73" s="6" t="n">
        <f aca="false">IFERROR(V73/W73-1,"")</f>
        <v>-0.0210659898477157</v>
      </c>
      <c r="E73" s="6" t="n">
        <f aca="false">IFERROR(AA73/AB73-1,"")</f>
        <v>-0.0533857754841296</v>
      </c>
      <c r="F73" s="3" t="str">
        <f aca="false">IF(OR(D73="",E73=""),"n/a (new)",IF(D73&gt;=0,IF(E73&gt;=0,"Long Buildup","Short Covering"),IF(E73&gt;=0,"Short Buildup","Long Unwinding")))</f>
        <v>Long Unwinding</v>
      </c>
      <c r="G73" s="6" t="n">
        <f aca="false">IFERROR(V73/X73-1,"")</f>
        <v>-0.0816666666666667</v>
      </c>
      <c r="H73" s="6" t="n">
        <f aca="false">IFERROR(AA73/AC73-1,"")</f>
        <v>-0.00100465313028764</v>
      </c>
      <c r="I73" s="3" t="str">
        <f aca="false">IF(OR(G73="",H73=""),"n/a (new)",IF(G73&gt;=0,IF(H73&gt;=0,"Long Buildup","Short Covering"),IF(H73&gt;=0,"Short Buildup","Long Unwinding")))</f>
        <v>Long Unwinding</v>
      </c>
      <c r="J73" s="6" t="n">
        <f aca="false">IFERROR(V73/Y73-1,"")</f>
        <v>0.0587427944002197</v>
      </c>
      <c r="K73" s="6" t="n">
        <f aca="false">IFERROR(AA73/AD73-1,"")</f>
        <v>0.0198925746983725</v>
      </c>
      <c r="L73" s="3" t="str">
        <f aca="false">IF(OR(J73="",K73=""),"n/a (new)",IF(J73&gt;=0,IF(K73&gt;=0,"Long Buildup","Short Covering"),IF(K73&gt;=0,"Short Buildup","Long Unwinding")))</f>
        <v>Long Buildup</v>
      </c>
      <c r="M73" s="6" t="n">
        <f aca="false">IFERROR(V73/Z73-1,"")</f>
        <v>-0.103023255813953</v>
      </c>
      <c r="N73" s="6" t="n">
        <f aca="false">IFERROR(AA73/AE73-1,"")</f>
        <v>0.00100667585037617</v>
      </c>
      <c r="O73" s="3" t="str">
        <f aca="false">IF(OR(M73="",N73=""),"n/a (new)",IF(M73&gt;=0,IF(N73&gt;=0,"Long Buildup","Short Covering"),IF(N73&gt;=0,"Short Buildup","Long Unwinding")))</f>
        <v>Short Buildup</v>
      </c>
      <c r="P73" s="7" t="n">
        <f aca="false">IFERROR(AF73/AG73,"")</f>
        <v>0.437145219068614</v>
      </c>
      <c r="Q73" s="7" t="n">
        <f aca="false">IFERROR(AH73/AI73,"")</f>
        <v>0.49237012987013</v>
      </c>
      <c r="V73" s="9" t="n">
        <v>38.57</v>
      </c>
      <c r="W73" s="9" t="n">
        <v>39.4</v>
      </c>
      <c r="X73" s="9" t="n">
        <v>42</v>
      </c>
      <c r="Y73" s="9" t="n">
        <v>36.43</v>
      </c>
      <c r="Z73" s="9" t="n">
        <v>43</v>
      </c>
      <c r="AA73" s="10" t="n">
        <v>479882200</v>
      </c>
      <c r="AB73" s="10" t="n">
        <v>506945900</v>
      </c>
      <c r="AC73" s="10" t="n">
        <v>480364800</v>
      </c>
      <c r="AD73" s="10" t="n">
        <v>470522300</v>
      </c>
      <c r="AE73" s="10" t="n">
        <v>479399600</v>
      </c>
      <c r="AF73" s="10" t="n">
        <v>100736400</v>
      </c>
      <c r="AG73" s="10" t="n">
        <v>230441500</v>
      </c>
      <c r="AH73" s="10" t="n">
        <v>115557300</v>
      </c>
      <c r="AI73" s="10" t="n">
        <v>234696000</v>
      </c>
    </row>
    <row r="74" customFormat="false" ht="15" hidden="false" customHeight="false" outlineLevel="0" collapsed="false">
      <c r="A74" s="3" t="n">
        <v>71</v>
      </c>
      <c r="B74" s="4" t="s">
        <v>108</v>
      </c>
      <c r="C74" s="5" t="n">
        <v>-4.19</v>
      </c>
      <c r="D74" s="6" t="n">
        <f aca="false">IFERROR(V74/W74-1,"")</f>
        <v>-0.00720000942718091</v>
      </c>
      <c r="E74" s="6" t="n">
        <f aca="false">IFERROR(AA74/AB74-1,"")</f>
        <v>-0.0801656003010914</v>
      </c>
      <c r="F74" s="3" t="str">
        <f aca="false">IF(OR(D74="",E74=""),"n/a (new)",IF(D74&gt;=0,IF(E74&gt;=0,"Long Buildup","Short Covering"),IF(E74&gt;=0,"Short Buildup","Long Unwinding")))</f>
        <v>Long Unwinding</v>
      </c>
      <c r="G74" s="6" t="n">
        <f aca="false">IFERROR(V74/X74-1,"")</f>
        <v>-0.0501691093573844</v>
      </c>
      <c r="H74" s="6" t="n">
        <f aca="false">IFERROR(AA74/AC74-1,"")</f>
        <v>-0.0206371468643558</v>
      </c>
      <c r="I74" s="3" t="str">
        <f aca="false">IF(OR(G74="",H74=""),"n/a (new)",IF(G74&gt;=0,IF(H74&gt;=0,"Long Buildup","Short Covering"),IF(H74&gt;=0,"Short Buildup","Long Unwinding")))</f>
        <v>Long Unwinding</v>
      </c>
      <c r="J74" s="6" t="n">
        <f aca="false">IFERROR(V74/Y74-1,"")</f>
        <v>0.00515402419528033</v>
      </c>
      <c r="K74" s="6" t="n">
        <f aca="false">IFERROR(AA74/AD74-1,"")</f>
        <v>-0.0642289652531828</v>
      </c>
      <c r="L74" s="3" t="str">
        <f aca="false">IF(OR(J74="",K74=""),"n/a (new)",IF(J74&gt;=0,IF(K74&gt;=0,"Long Buildup","Short Covering"),IF(K74&gt;=0,"Short Buildup","Long Unwinding")))</f>
        <v>Short Covering</v>
      </c>
      <c r="M74" s="6" t="n">
        <f aca="false">IFERROR(V74/Z74-1,"")</f>
        <v>-0.061856244084405</v>
      </c>
      <c r="N74" s="6" t="n">
        <f aca="false">IFERROR(AA74/AE74-1,"")</f>
        <v>-0.159559834938102</v>
      </c>
      <c r="O74" s="3" t="str">
        <f aca="false">IF(OR(M74="",N74=""),"n/a (new)",IF(M74&gt;=0,IF(N74&gt;=0,"Long Buildup","Short Covering"),IF(N74&gt;=0,"Short Buildup","Long Unwinding")))</f>
        <v>Long Unwinding</v>
      </c>
      <c r="P74" s="7" t="n">
        <f aca="false">IFERROR(AF74/AG74,"")</f>
        <v>0.765525114155251</v>
      </c>
      <c r="Q74" s="7" t="n">
        <f aca="false">IFERROR(AH74/AI74,"")</f>
        <v>0.811746987951807</v>
      </c>
      <c r="V74" s="9" t="n">
        <v>842.5</v>
      </c>
      <c r="W74" s="9" t="n">
        <v>848.61</v>
      </c>
      <c r="X74" s="9" t="n">
        <v>887</v>
      </c>
      <c r="Y74" s="9" t="n">
        <v>838.18</v>
      </c>
      <c r="Z74" s="9" t="n">
        <v>898.05</v>
      </c>
      <c r="AA74" s="10" t="n">
        <v>5621200</v>
      </c>
      <c r="AB74" s="10" t="n">
        <v>6111100</v>
      </c>
      <c r="AC74" s="10" t="n">
        <v>5739650</v>
      </c>
      <c r="AD74" s="10" t="n">
        <v>6007025</v>
      </c>
      <c r="AE74" s="10" t="n">
        <v>6688400</v>
      </c>
      <c r="AF74" s="10" t="n">
        <v>1927975</v>
      </c>
      <c r="AG74" s="10" t="n">
        <v>2518500</v>
      </c>
      <c r="AH74" s="10" t="n">
        <v>1239700</v>
      </c>
      <c r="AI74" s="10" t="n">
        <v>1527200</v>
      </c>
    </row>
    <row r="75" customFormat="false" ht="15" hidden="false" customHeight="false" outlineLevel="0" collapsed="false">
      <c r="A75" s="3" t="n">
        <v>72</v>
      </c>
      <c r="B75" s="4" t="s">
        <v>109</v>
      </c>
      <c r="C75" s="5" t="n">
        <v>-4.24</v>
      </c>
      <c r="D75" s="6" t="n">
        <f aca="false">IFERROR(V75/W75-1,"")</f>
        <v>-0.0236230241772057</v>
      </c>
      <c r="E75" s="6" t="n">
        <f aca="false">IFERROR(AA75/AB75-1,"")</f>
        <v>-0.0104159862228689</v>
      </c>
      <c r="F75" s="3" t="str">
        <f aca="false">IF(OR(D75="",E75=""),"n/a (new)",IF(D75&gt;=0,IF(E75&gt;=0,"Long Buildup","Short Covering"),IF(E75&gt;=0,"Short Buildup","Long Unwinding")))</f>
        <v>Long Unwinding</v>
      </c>
      <c r="G75" s="6" t="n">
        <f aca="false">IFERROR(V75/X75-1,"")</f>
        <v>-0.0253965108694755</v>
      </c>
      <c r="H75" s="6" t="n">
        <f aca="false">IFERROR(AA75/AC75-1,"")</f>
        <v>-0.0338588018390431</v>
      </c>
      <c r="I75" s="3" t="str">
        <f aca="false">IF(OR(G75="",H75=""),"n/a (new)",IF(G75&gt;=0,IF(H75&gt;=0,"Long Buildup","Short Covering"),IF(H75&gt;=0,"Short Buildup","Long Unwinding")))</f>
        <v>Long Unwinding</v>
      </c>
      <c r="J75" s="6" t="n">
        <f aca="false">IFERROR(V75/Y75-1,"")</f>
        <v>0.00217341472318688</v>
      </c>
      <c r="K75" s="6" t="n">
        <f aca="false">IFERROR(AA75/AD75-1,"")</f>
        <v>0.0264147456922437</v>
      </c>
      <c r="L75" s="3" t="str">
        <f aca="false">IF(OR(J75="",K75=""),"n/a (new)",IF(J75&gt;=0,IF(K75&gt;=0,"Long Buildup","Short Covering"),IF(K75&gt;=0,"Short Buildup","Long Unwinding")))</f>
        <v>Long Buildup</v>
      </c>
      <c r="M75" s="6" t="n">
        <f aca="false">IFERROR(V75/Z75-1,"")</f>
        <v>-0.048354979401972</v>
      </c>
      <c r="N75" s="6" t="n">
        <f aca="false">IFERROR(AA75/AE75-1,"")</f>
        <v>0.0805022515731835</v>
      </c>
      <c r="O75" s="3" t="str">
        <f aca="false">IF(OR(M75="",N75=""),"n/a (new)",IF(M75&gt;=0,IF(N75&gt;=0,"Long Buildup","Short Covering"),IF(N75&gt;=0,"Short Buildup","Long Unwinding")))</f>
        <v>Short Buildup</v>
      </c>
      <c r="P75" s="7" t="n">
        <f aca="false">IFERROR(AF75/AG75,"")</f>
        <v>0.59485856738634</v>
      </c>
      <c r="Q75" s="7" t="n">
        <f aca="false">IFERROR(AH75/AI75,"")</f>
        <v>0.698731288948512</v>
      </c>
      <c r="V75" s="9" t="n">
        <v>1180.43</v>
      </c>
      <c r="W75" s="9" t="n">
        <v>1208.99</v>
      </c>
      <c r="X75" s="9" t="n">
        <v>1211.19</v>
      </c>
      <c r="Y75" s="9" t="n">
        <v>1177.87</v>
      </c>
      <c r="Z75" s="9" t="n">
        <v>1240.41</v>
      </c>
      <c r="AA75" s="10" t="n">
        <v>166641000</v>
      </c>
      <c r="AB75" s="10" t="n">
        <v>168395000</v>
      </c>
      <c r="AC75" s="10" t="n">
        <v>172481000</v>
      </c>
      <c r="AD75" s="10" t="n">
        <v>162352500</v>
      </c>
      <c r="AE75" s="10" t="n">
        <v>154225500</v>
      </c>
      <c r="AF75" s="10" t="n">
        <v>65381500</v>
      </c>
      <c r="AG75" s="10" t="n">
        <v>109911000</v>
      </c>
      <c r="AH75" s="10" t="n">
        <v>60939500</v>
      </c>
      <c r="AI75" s="10" t="n">
        <v>87214500</v>
      </c>
    </row>
    <row r="76" customFormat="false" ht="15" hidden="false" customHeight="false" outlineLevel="0" collapsed="false">
      <c r="A76" s="3" t="n">
        <v>73</v>
      </c>
      <c r="B76" s="4" t="s">
        <v>110</v>
      </c>
      <c r="C76" s="5" t="n">
        <v>-4.28</v>
      </c>
      <c r="D76" s="6" t="n">
        <f aca="false">IFERROR(V76/W76-1,"")</f>
        <v>-0.0119921902238337</v>
      </c>
      <c r="E76" s="6" t="n">
        <f aca="false">IFERROR(AA76/AB76-1,"")</f>
        <v>-0.018108885852978</v>
      </c>
      <c r="F76" s="3" t="str">
        <f aca="false">IF(OR(D76="",E76=""),"n/a (new)",IF(D76&gt;=0,IF(E76&gt;=0,"Long Buildup","Short Covering"),IF(E76&gt;=0,"Short Buildup","Long Unwinding")))</f>
        <v>Long Unwinding</v>
      </c>
      <c r="G76" s="6" t="n">
        <f aca="false">IFERROR(V76/X76-1,"")</f>
        <v>-0.0274515133544192</v>
      </c>
      <c r="H76" s="6" t="n">
        <f aca="false">IFERROR(AA76/AC76-1,"")</f>
        <v>-0.0162502184169142</v>
      </c>
      <c r="I76" s="3" t="str">
        <f aca="false">IF(OR(G76="",H76=""),"n/a (new)",IF(G76&gt;=0,IF(H76&gt;=0,"Long Buildup","Short Covering"),IF(H76&gt;=0,"Short Buildup","Long Unwinding")))</f>
        <v>Long Unwinding</v>
      </c>
      <c r="J76" s="6" t="n">
        <f aca="false">IFERROR(V76/Y76-1,"")</f>
        <v>0.0468136099614493</v>
      </c>
      <c r="K76" s="6" t="n">
        <f aca="false">IFERROR(AA76/AD76-1,"")</f>
        <v>-0.000473428808142939</v>
      </c>
      <c r="L76" s="3" t="str">
        <f aca="false">IF(OR(J76="",K76=""),"n/a (new)",IF(J76&gt;=0,IF(K76&gt;=0,"Long Buildup","Short Covering"),IF(K76&gt;=0,"Short Buildup","Long Unwinding")))</f>
        <v>Short Covering</v>
      </c>
      <c r="M76" s="6" t="n">
        <f aca="false">IFERROR(V76/Z76-1,"")</f>
        <v>-0.0461154623462201</v>
      </c>
      <c r="N76" s="6" t="n">
        <f aca="false">IFERROR(AA76/AE76-1,"")</f>
        <v>0.0194042912756134</v>
      </c>
      <c r="O76" s="3" t="str">
        <f aca="false">IF(OR(M76="",N76=""),"n/a (new)",IF(M76&gt;=0,IF(N76&gt;=0,"Long Buildup","Short Covering"),IF(N76&gt;=0,"Short Buildup","Long Unwinding")))</f>
        <v>Short Buildup</v>
      </c>
      <c r="P76" s="7" t="n">
        <f aca="false">IFERROR(AF76/AG76,"")</f>
        <v>0.837545310665237</v>
      </c>
      <c r="Q76" s="7" t="n">
        <f aca="false">IFERROR(AH76/AI76,"")</f>
        <v>0.940991597716631</v>
      </c>
      <c r="V76" s="9" t="n">
        <v>7084.51</v>
      </c>
      <c r="W76" s="9" t="n">
        <v>7170.5</v>
      </c>
      <c r="X76" s="9" t="n">
        <v>7284.48</v>
      </c>
      <c r="Y76" s="9" t="n">
        <v>6767.69</v>
      </c>
      <c r="Z76" s="9" t="n">
        <v>7427.01</v>
      </c>
      <c r="AA76" s="10" t="n">
        <v>3378000</v>
      </c>
      <c r="AB76" s="10" t="n">
        <v>3440300</v>
      </c>
      <c r="AC76" s="10" t="n">
        <v>3433800</v>
      </c>
      <c r="AD76" s="10" t="n">
        <v>3379600</v>
      </c>
      <c r="AE76" s="10" t="n">
        <v>3313700</v>
      </c>
      <c r="AF76" s="10" t="n">
        <v>1640500</v>
      </c>
      <c r="AG76" s="10" t="n">
        <v>1958700</v>
      </c>
      <c r="AH76" s="10" t="n">
        <v>1467100</v>
      </c>
      <c r="AI76" s="10" t="n">
        <v>1559100</v>
      </c>
    </row>
    <row r="77" customFormat="false" ht="15" hidden="false" customHeight="false" outlineLevel="0" collapsed="false">
      <c r="A77" s="3" t="n">
        <v>74</v>
      </c>
      <c r="B77" s="4" t="s">
        <v>111</v>
      </c>
      <c r="C77" s="5" t="n">
        <v>-4.43</v>
      </c>
      <c r="D77" s="6" t="n">
        <f aca="false">IFERROR(V77/W77-1,"")</f>
        <v>0.00852052672347003</v>
      </c>
      <c r="E77" s="6" t="n">
        <f aca="false">IFERROR(AA77/AB77-1,"")</f>
        <v>-0.0122502378686965</v>
      </c>
      <c r="F77" s="3" t="str">
        <f aca="false">IF(OR(D77="",E77=""),"n/a (new)",IF(D77&gt;=0,IF(E77&gt;=0,"Long Buildup","Short Covering"),IF(E77&gt;=0,"Short Buildup","Long Unwinding")))</f>
        <v>Short Covering</v>
      </c>
      <c r="G77" s="6" t="n">
        <f aca="false">IFERROR(V77/X77-1,"")</f>
        <v>-0.0314301655198067</v>
      </c>
      <c r="H77" s="6" t="n">
        <f aca="false">IFERROR(AA77/AC77-1,"")</f>
        <v>0.00018064671524054</v>
      </c>
      <c r="I77" s="3" t="str">
        <f aca="false">IF(OR(G77="",H77=""),"n/a (new)",IF(G77&gt;=0,IF(H77&gt;=0,"Long Buildup","Short Covering"),IF(H77&gt;=0,"Short Buildup","Long Unwinding")))</f>
        <v>Short Buildup</v>
      </c>
      <c r="J77" s="6" t="n">
        <f aca="false">IFERROR(V77/Y77-1,"")</f>
        <v>0.00395180722891553</v>
      </c>
      <c r="K77" s="6" t="n">
        <f aca="false">IFERROR(AA77/AD77-1,"")</f>
        <v>-0.0778881918614334</v>
      </c>
      <c r="L77" s="3" t="str">
        <f aca="false">IF(OR(J77="",K77=""),"n/a (new)",IF(J77&gt;=0,IF(K77&gt;=0,"Long Buildup","Short Covering"),IF(K77&gt;=0,"Short Buildup","Long Unwinding")))</f>
        <v>Short Covering</v>
      </c>
      <c r="M77" s="6" t="n">
        <f aca="false">IFERROR(V77/Z77-1,"")</f>
        <v>-0.0775770456960681</v>
      </c>
      <c r="N77" s="6" t="n">
        <f aca="false">IFERROR(AA77/AE77-1,"")</f>
        <v>-0.142178381449156</v>
      </c>
      <c r="O77" s="3" t="str">
        <f aca="false">IF(OR(M77="",N77=""),"n/a (new)",IF(M77&gt;=0,IF(N77&gt;=0,"Long Buildup","Short Covering"),IF(N77&gt;=0,"Short Buildup","Long Unwinding")))</f>
        <v>Long Unwinding</v>
      </c>
      <c r="P77" s="7" t="n">
        <f aca="false">IFERROR(AF77/AG77,"")</f>
        <v>0.730669330669331</v>
      </c>
      <c r="Q77" s="7" t="n">
        <f aca="false">IFERROR(AH77/AI77,"")</f>
        <v>0.756364987920461</v>
      </c>
      <c r="V77" s="9" t="n">
        <v>104.16</v>
      </c>
      <c r="W77" s="9" t="n">
        <v>103.28</v>
      </c>
      <c r="X77" s="9" t="n">
        <v>107.54</v>
      </c>
      <c r="Y77" s="9" t="n">
        <v>103.75</v>
      </c>
      <c r="Z77" s="9" t="n">
        <v>112.92</v>
      </c>
      <c r="AA77" s="10" t="n">
        <v>72253500</v>
      </c>
      <c r="AB77" s="10" t="n">
        <v>73149600</v>
      </c>
      <c r="AC77" s="10" t="n">
        <v>72240450</v>
      </c>
      <c r="AD77" s="10" t="n">
        <v>78356550</v>
      </c>
      <c r="AE77" s="10" t="n">
        <v>84229050</v>
      </c>
      <c r="AF77" s="10" t="n">
        <v>15907950</v>
      </c>
      <c r="AG77" s="10" t="n">
        <v>21771750</v>
      </c>
      <c r="AH77" s="10" t="n">
        <v>17704500</v>
      </c>
      <c r="AI77" s="10" t="n">
        <v>23407350</v>
      </c>
    </row>
    <row r="78" customFormat="false" ht="15" hidden="false" customHeight="false" outlineLevel="0" collapsed="false">
      <c r="A78" s="3" t="n">
        <v>75</v>
      </c>
      <c r="B78" s="4" t="s">
        <v>112</v>
      </c>
      <c r="C78" s="5" t="n">
        <v>-4.6</v>
      </c>
      <c r="D78" s="6" t="n">
        <f aca="false">IFERROR(V78/W78-1,"")</f>
        <v>-0.0186299634311383</v>
      </c>
      <c r="E78" s="6" t="n">
        <f aca="false">IFERROR(AA78/AB78-1,"")</f>
        <v>-0.00972339386405008</v>
      </c>
      <c r="F78" s="3" t="str">
        <f aca="false">IF(OR(D78="",E78=""),"n/a (new)",IF(D78&gt;=0,IF(E78&gt;=0,"Long Buildup","Short Covering"),IF(E78&gt;=0,"Short Buildup","Long Unwinding")))</f>
        <v>Long Unwinding</v>
      </c>
      <c r="G78" s="6" t="n">
        <f aca="false">IFERROR(V78/X78-1,"")</f>
        <v>-0.0149710982658959</v>
      </c>
      <c r="H78" s="6" t="n">
        <f aca="false">IFERROR(AA78/AC78-1,"")</f>
        <v>-0.0183530654460631</v>
      </c>
      <c r="I78" s="3" t="str">
        <f aca="false">IF(OR(G78="",H78=""),"n/a (new)",IF(G78&gt;=0,IF(H78&gt;=0,"Long Buildup","Short Covering"),IF(H78&gt;=0,"Short Buildup","Long Unwinding")))</f>
        <v>Long Unwinding</v>
      </c>
      <c r="J78" s="6" t="n">
        <f aca="false">IFERROR(V78/Y78-1,"")</f>
        <v>0.0435394978567054</v>
      </c>
      <c r="K78" s="6" t="n">
        <f aca="false">IFERROR(AA78/AD78-1,"")</f>
        <v>-0.0264938239273711</v>
      </c>
      <c r="L78" s="3" t="str">
        <f aca="false">IF(OR(J78="",K78=""),"n/a (new)",IF(J78&gt;=0,IF(K78&gt;=0,"Long Buildup","Short Covering"),IF(K78&gt;=0,"Short Buildup","Long Unwinding")))</f>
        <v>Short Covering</v>
      </c>
      <c r="M78" s="6" t="n">
        <f aca="false">IFERROR(V78/Z78-1,"")</f>
        <v>-0.0550888574676315</v>
      </c>
      <c r="N78" s="6" t="n">
        <f aca="false">IFERROR(AA78/AE78-1,"")</f>
        <v>0.0590693257359924</v>
      </c>
      <c r="O78" s="3" t="str">
        <f aca="false">IF(OR(M78="",N78=""),"n/a (new)",IF(M78&gt;=0,IF(N78&gt;=0,"Long Buildup","Short Covering"),IF(N78&gt;=0,"Short Buildup","Long Unwinding")))</f>
        <v>Short Buildup</v>
      </c>
      <c r="P78" s="7" t="n">
        <f aca="false">IFERROR(AF78/AG78,"")</f>
        <v>1.09602076124567</v>
      </c>
      <c r="Q78" s="7" t="n">
        <f aca="false">IFERROR(AH78/AI78,"")</f>
        <v>1.00021944261576</v>
      </c>
      <c r="V78" s="9" t="n">
        <v>340.82</v>
      </c>
      <c r="W78" s="9" t="n">
        <v>347.29</v>
      </c>
      <c r="X78" s="9" t="n">
        <v>346</v>
      </c>
      <c r="Y78" s="9" t="n">
        <v>326.6</v>
      </c>
      <c r="Z78" s="9" t="n">
        <v>360.69</v>
      </c>
      <c r="AA78" s="10" t="n">
        <v>45165600</v>
      </c>
      <c r="AB78" s="10" t="n">
        <v>45609075</v>
      </c>
      <c r="AC78" s="10" t="n">
        <v>46010025</v>
      </c>
      <c r="AD78" s="10" t="n">
        <v>46394775</v>
      </c>
      <c r="AE78" s="10" t="n">
        <v>42646500</v>
      </c>
      <c r="AF78" s="10" t="n">
        <v>15394050</v>
      </c>
      <c r="AG78" s="10" t="n">
        <v>14045400</v>
      </c>
      <c r="AH78" s="10" t="n">
        <v>9229950</v>
      </c>
      <c r="AI78" s="10" t="n">
        <v>9227925</v>
      </c>
    </row>
    <row r="79" customFormat="false" ht="15" hidden="false" customHeight="false" outlineLevel="0" collapsed="false">
      <c r="A79" s="3" t="n">
        <v>76</v>
      </c>
      <c r="B79" s="4" t="s">
        <v>113</v>
      </c>
      <c r="C79" s="5" t="n">
        <v>-4.84</v>
      </c>
      <c r="D79" s="6" t="n">
        <f aca="false">IFERROR(V79/W79-1,"")</f>
        <v>-0.00490663759029575</v>
      </c>
      <c r="E79" s="6" t="n">
        <f aca="false">IFERROR(AA79/AB79-1,"")</f>
        <v>-0.00359895160974844</v>
      </c>
      <c r="F79" s="3" t="str">
        <f aca="false">IF(OR(D79="",E79=""),"n/a (new)",IF(D79&gt;=0,IF(E79&gt;=0,"Long Buildup","Short Covering"),IF(E79&gt;=0,"Short Buildup","Long Unwinding")))</f>
        <v>Long Unwinding</v>
      </c>
      <c r="G79" s="6" t="n">
        <f aca="false">IFERROR(V79/X79-1,"")</f>
        <v>-0.0194076959237122</v>
      </c>
      <c r="H79" s="6" t="n">
        <f aca="false">IFERROR(AA79/AC79-1,"")</f>
        <v>0.0410774135535028</v>
      </c>
      <c r="I79" s="3" t="str">
        <f aca="false">IF(OR(G79="",H79=""),"n/a (new)",IF(G79&gt;=0,IF(H79&gt;=0,"Long Buildup","Short Covering"),IF(H79&gt;=0,"Short Buildup","Long Unwinding")))</f>
        <v>Short Buildup</v>
      </c>
      <c r="J79" s="6" t="n">
        <f aca="false">IFERROR(V79/Y79-1,"")</f>
        <v>0.00682617389505635</v>
      </c>
      <c r="K79" s="6" t="n">
        <f aca="false">IFERROR(AA79/AD79-1,"")</f>
        <v>0.0107940791301242</v>
      </c>
      <c r="L79" s="3" t="str">
        <f aca="false">IF(OR(J79="",K79=""),"n/a (new)",IF(J79&gt;=0,IF(K79&gt;=0,"Long Buildup","Short Covering"),IF(K79&gt;=0,"Short Buildup","Long Unwinding")))</f>
        <v>Long Buildup</v>
      </c>
      <c r="M79" s="6" t="n">
        <f aca="false">IFERROR(V79/Z79-1,"")</f>
        <v>-0.0916329704510108</v>
      </c>
      <c r="N79" s="6" t="n">
        <f aca="false">IFERROR(AA79/AE79-1,"")</f>
        <v>-0.0881721199971361</v>
      </c>
      <c r="O79" s="3" t="str">
        <f aca="false">IF(OR(M79="",N79=""),"n/a (new)",IF(M79&gt;=0,IF(N79&gt;=0,"Long Buildup","Short Covering"),IF(N79&gt;=0,"Short Buildup","Long Unwinding")))</f>
        <v>Long Unwinding</v>
      </c>
      <c r="P79" s="7" t="n">
        <f aca="false">IFERROR(AF79/AG79,"")</f>
        <v>0.735157615574709</v>
      </c>
      <c r="Q79" s="7" t="n">
        <f aca="false">IFERROR(AH79/AI79,"")</f>
        <v>0.71433981317849</v>
      </c>
      <c r="V79" s="9" t="n">
        <v>146.02</v>
      </c>
      <c r="W79" s="9" t="n">
        <v>146.74</v>
      </c>
      <c r="X79" s="9" t="n">
        <v>148.91</v>
      </c>
      <c r="Y79" s="9" t="n">
        <v>145.03</v>
      </c>
      <c r="Z79" s="9" t="n">
        <v>160.75</v>
      </c>
      <c r="AA79" s="10" t="n">
        <v>127355000</v>
      </c>
      <c r="AB79" s="10" t="n">
        <v>127815000</v>
      </c>
      <c r="AC79" s="10" t="n">
        <v>122330000</v>
      </c>
      <c r="AD79" s="10" t="n">
        <v>125995000</v>
      </c>
      <c r="AE79" s="10" t="n">
        <v>139670000</v>
      </c>
      <c r="AF79" s="10" t="n">
        <v>60985000</v>
      </c>
      <c r="AG79" s="10" t="n">
        <v>82955000</v>
      </c>
      <c r="AH79" s="10" t="n">
        <v>56590000</v>
      </c>
      <c r="AI79" s="10" t="n">
        <v>79220000</v>
      </c>
    </row>
    <row r="80" customFormat="false" ht="15" hidden="false" customHeight="false" outlineLevel="0" collapsed="false">
      <c r="A80" s="3" t="n">
        <v>77</v>
      </c>
      <c r="B80" s="4" t="s">
        <v>114</v>
      </c>
      <c r="C80" s="5" t="n">
        <v>-4.84</v>
      </c>
      <c r="D80" s="6" t="n">
        <f aca="false">IFERROR(V80/W80-1,"")</f>
        <v>-0.0160222090025778</v>
      </c>
      <c r="E80" s="6" t="n">
        <f aca="false">IFERROR(AA80/AB80-1,"")</f>
        <v>-0.0297839842897665</v>
      </c>
      <c r="F80" s="3" t="str">
        <f aca="false">IF(OR(D80="",E80=""),"n/a (new)",IF(D80&gt;=0,IF(E80&gt;=0,"Long Buildup","Short Covering"),IF(E80&gt;=0,"Short Buildup","Long Unwinding")))</f>
        <v>Long Unwinding</v>
      </c>
      <c r="G80" s="6" t="n">
        <f aca="false">IFERROR(V80/X80-1,"")</f>
        <v>-0.00934318227191044</v>
      </c>
      <c r="H80" s="6" t="n">
        <f aca="false">IFERROR(AA80/AC80-1,"")</f>
        <v>-0.0464548988071304</v>
      </c>
      <c r="I80" s="3" t="str">
        <f aca="false">IF(OR(G80="",H80=""),"n/a (new)",IF(G80&gt;=0,IF(H80&gt;=0,"Long Buildup","Short Covering"),IF(H80&gt;=0,"Short Buildup","Long Unwinding")))</f>
        <v>Long Unwinding</v>
      </c>
      <c r="J80" s="6" t="n">
        <f aca="false">IFERROR(V80/Y80-1,"")</f>
        <v>0.0137697147993789</v>
      </c>
      <c r="K80" s="6" t="n">
        <f aca="false">IFERROR(AA80/AD80-1,"")</f>
        <v>-0.0268643650489686</v>
      </c>
      <c r="L80" s="3" t="str">
        <f aca="false">IF(OR(J80="",K80=""),"n/a (new)",IF(J80&gt;=0,IF(K80&gt;=0,"Long Buildup","Short Covering"),IF(K80&gt;=0,"Short Buildup","Long Unwinding")))</f>
        <v>Short Covering</v>
      </c>
      <c r="M80" s="6" t="n">
        <f aca="false">IFERROR(V80/Z80-1,"")</f>
        <v>-0.0670802782477908</v>
      </c>
      <c r="N80" s="6" t="n">
        <f aca="false">IFERROR(AA80/AE80-1,"")</f>
        <v>0.0126394898656343</v>
      </c>
      <c r="O80" s="3" t="str">
        <f aca="false">IF(OR(M80="",N80=""),"n/a (new)",IF(M80&gt;=0,IF(N80&gt;=0,"Long Buildup","Short Covering"),IF(N80&gt;=0,"Short Buildup","Long Unwinding")))</f>
        <v>Short Buildup</v>
      </c>
      <c r="P80" s="7" t="n">
        <f aca="false">IFERROR(AF80/AG80,"")</f>
        <v>0.554842374325476</v>
      </c>
      <c r="Q80" s="7" t="n">
        <f aca="false">IFERROR(AH80/AI80,"")</f>
        <v>0.522398023900127</v>
      </c>
      <c r="V80" s="9" t="n">
        <v>248.11</v>
      </c>
      <c r="W80" s="9" t="n">
        <v>252.15</v>
      </c>
      <c r="X80" s="9" t="n">
        <v>250.45</v>
      </c>
      <c r="Y80" s="9" t="n">
        <v>244.74</v>
      </c>
      <c r="Z80" s="9" t="n">
        <v>265.95</v>
      </c>
      <c r="AA80" s="10" t="n">
        <v>67586800</v>
      </c>
      <c r="AB80" s="10" t="n">
        <v>69661600</v>
      </c>
      <c r="AC80" s="10" t="n">
        <v>70879500</v>
      </c>
      <c r="AD80" s="10" t="n">
        <v>69452600</v>
      </c>
      <c r="AE80" s="10" t="n">
        <v>66743200</v>
      </c>
      <c r="AF80" s="10" t="n">
        <v>18559200</v>
      </c>
      <c r="AG80" s="10" t="n">
        <v>33449500</v>
      </c>
      <c r="AH80" s="10" t="n">
        <v>14867500</v>
      </c>
      <c r="AI80" s="10" t="n">
        <v>28460100</v>
      </c>
    </row>
    <row r="81" customFormat="false" ht="15" hidden="false" customHeight="false" outlineLevel="0" collapsed="false">
      <c r="A81" s="3" t="n">
        <v>78</v>
      </c>
      <c r="B81" s="4" t="s">
        <v>115</v>
      </c>
      <c r="C81" s="5" t="n">
        <v>-5.04</v>
      </c>
      <c r="D81" s="6" t="n">
        <f aca="false">IFERROR(V81/W81-1,"")</f>
        <v>-0.011178076546644</v>
      </c>
      <c r="E81" s="6" t="n">
        <f aca="false">IFERROR(AA81/AB81-1,"")</f>
        <v>0.00855377309670935</v>
      </c>
      <c r="F81" s="3" t="str">
        <f aca="false">IF(OR(D81="",E81=""),"n/a (new)",IF(D81&gt;=0,IF(E81&gt;=0,"Long Buildup","Short Covering"),IF(E81&gt;=0,"Short Buildup","Long Unwinding")))</f>
        <v>Short Buildup</v>
      </c>
      <c r="G81" s="6" t="n">
        <f aca="false">IFERROR(V81/X81-1,"")</f>
        <v>-0.0195016804748236</v>
      </c>
      <c r="H81" s="6" t="n">
        <f aca="false">IFERROR(AA81/AC81-1,"")</f>
        <v>0.0116332325730513</v>
      </c>
      <c r="I81" s="3" t="str">
        <f aca="false">IF(OR(G81="",H81=""),"n/a (new)",IF(G81&gt;=0,IF(H81&gt;=0,"Long Buildup","Short Covering"),IF(H81&gt;=0,"Short Buildup","Long Unwinding")))</f>
        <v>Short Buildup</v>
      </c>
      <c r="J81" s="6" t="n">
        <f aca="false">IFERROR(V81/Y81-1,"")</f>
        <v>0.008309783693494</v>
      </c>
      <c r="K81" s="6" t="n">
        <f aca="false">IFERROR(AA81/AD81-1,"")</f>
        <v>0.0457343054634978</v>
      </c>
      <c r="L81" s="3" t="str">
        <f aca="false">IF(OR(J81="",K81=""),"n/a (new)",IF(J81&gt;=0,IF(K81&gt;=0,"Long Buildup","Short Covering"),IF(K81&gt;=0,"Short Buildup","Long Unwinding")))</f>
        <v>Long Buildup</v>
      </c>
      <c r="M81" s="6" t="n">
        <f aca="false">IFERROR(V81/Z81-1,"")</f>
        <v>-0.0247223435928181</v>
      </c>
      <c r="N81" s="6" t="n">
        <f aca="false">IFERROR(AA81/AE81-1,"")</f>
        <v>0.0250603304250974</v>
      </c>
      <c r="O81" s="3" t="str">
        <f aca="false">IF(OR(M81="",N81=""),"n/a (new)",IF(M81&gt;=0,IF(N81&gt;=0,"Long Buildup","Short Covering"),IF(N81&gt;=0,"Short Buildup","Long Unwinding")))</f>
        <v>Short Buildup</v>
      </c>
      <c r="P81" s="7" t="n">
        <f aca="false">IFERROR(AF81/AG81,"")</f>
        <v>0.711117923564276</v>
      </c>
      <c r="Q81" s="7" t="n">
        <f aca="false">IFERROR(AH81/AI81,"")</f>
        <v>0.694310959541156</v>
      </c>
      <c r="V81" s="9" t="n">
        <v>959.8</v>
      </c>
      <c r="W81" s="9" t="n">
        <v>970.65</v>
      </c>
      <c r="X81" s="9" t="n">
        <v>978.89</v>
      </c>
      <c r="Y81" s="9" t="n">
        <v>951.89</v>
      </c>
      <c r="Z81" s="9" t="n">
        <v>984.13</v>
      </c>
      <c r="AA81" s="10" t="n">
        <v>18222600</v>
      </c>
      <c r="AB81" s="10" t="n">
        <v>18068050</v>
      </c>
      <c r="AC81" s="10" t="n">
        <v>18013050</v>
      </c>
      <c r="AD81" s="10" t="n">
        <v>17425650</v>
      </c>
      <c r="AE81" s="10" t="n">
        <v>17777100</v>
      </c>
      <c r="AF81" s="10" t="n">
        <v>3827450</v>
      </c>
      <c r="AG81" s="10" t="n">
        <v>5382300</v>
      </c>
      <c r="AH81" s="10" t="n">
        <v>2463450</v>
      </c>
      <c r="AI81" s="10" t="n">
        <v>3548050</v>
      </c>
    </row>
    <row r="82" customFormat="false" ht="15" hidden="false" customHeight="false" outlineLevel="0" collapsed="false">
      <c r="A82" s="3" t="n">
        <v>79</v>
      </c>
      <c r="B82" s="4" t="s">
        <v>116</v>
      </c>
      <c r="C82" s="5" t="n">
        <v>-5.16</v>
      </c>
      <c r="D82" s="6" t="n">
        <f aca="false">IFERROR(V82/W82-1,"")</f>
        <v>-0.00674617994580806</v>
      </c>
      <c r="E82" s="6" t="n">
        <f aca="false">IFERROR(AA82/AB82-1,"")</f>
        <v>0.011028481813123</v>
      </c>
      <c r="F82" s="3" t="str">
        <f aca="false">IF(OR(D82="",E82=""),"n/a (new)",IF(D82&gt;=0,IF(E82&gt;=0,"Long Buildup","Short Covering"),IF(E82&gt;=0,"Short Buildup","Long Unwinding")))</f>
        <v>Short Buildup</v>
      </c>
      <c r="G82" s="6" t="n">
        <f aca="false">IFERROR(V82/X82-1,"")</f>
        <v>-0.0399090601861809</v>
      </c>
      <c r="H82" s="6" t="n">
        <f aca="false">IFERROR(AA82/AC82-1,"")</f>
        <v>0.0442847811887654</v>
      </c>
      <c r="I82" s="3" t="str">
        <f aca="false">IF(OR(G82="",H82=""),"n/a (new)",IF(G82&gt;=0,IF(H82&gt;=0,"Long Buildup","Short Covering"),IF(H82&gt;=0,"Short Buildup","Long Unwinding")))</f>
        <v>Short Buildup</v>
      </c>
      <c r="J82" s="6" t="n">
        <f aca="false">IFERROR(V82/Y82-1,"")</f>
        <v>0.0114741629039827</v>
      </c>
      <c r="K82" s="6" t="n">
        <f aca="false">IFERROR(AA82/AD82-1,"")</f>
        <v>0.0180327033773113</v>
      </c>
      <c r="L82" s="3" t="str">
        <f aca="false">IF(OR(J82="",K82=""),"n/a (new)",IF(J82&gt;=0,IF(K82&gt;=0,"Long Buildup","Short Covering"),IF(K82&gt;=0,"Short Buildup","Long Unwinding")))</f>
        <v>Long Buildup</v>
      </c>
      <c r="M82" s="6" t="n">
        <f aca="false">IFERROR(V82/Z82-1,"")</f>
        <v>-0.0413963404346692</v>
      </c>
      <c r="N82" s="6" t="n">
        <f aca="false">IFERROR(AA82/AE82-1,"")</f>
        <v>-0.0351237175618588</v>
      </c>
      <c r="O82" s="3" t="str">
        <f aca="false">IF(OR(M82="",N82=""),"n/a (new)",IF(M82&gt;=0,IF(N82&gt;=0,"Long Buildup","Short Covering"),IF(N82&gt;=0,"Short Buildup","Long Unwinding")))</f>
        <v>Long Unwinding</v>
      </c>
      <c r="P82" s="7" t="n">
        <f aca="false">IFERROR(AF82/AG82,"")</f>
        <v>0.684701359720937</v>
      </c>
      <c r="Q82" s="7" t="n">
        <f aca="false">IFERROR(AH82/AI82,"")</f>
        <v>0.784086895090074</v>
      </c>
      <c r="V82" s="9" t="n">
        <v>1250</v>
      </c>
      <c r="W82" s="9" t="n">
        <v>1258.49</v>
      </c>
      <c r="X82" s="9" t="n">
        <v>1301.96</v>
      </c>
      <c r="Y82" s="9" t="n">
        <v>1235.82</v>
      </c>
      <c r="Z82" s="9" t="n">
        <v>1303.98</v>
      </c>
      <c r="AA82" s="10" t="n">
        <v>23982000</v>
      </c>
      <c r="AB82" s="10" t="n">
        <v>23720400</v>
      </c>
      <c r="AC82" s="10" t="n">
        <v>22965000</v>
      </c>
      <c r="AD82" s="10" t="n">
        <v>23557200</v>
      </c>
      <c r="AE82" s="10" t="n">
        <v>24855000</v>
      </c>
      <c r="AF82" s="10" t="n">
        <v>5770800</v>
      </c>
      <c r="AG82" s="10" t="n">
        <v>8428200</v>
      </c>
      <c r="AH82" s="10" t="n">
        <v>5327400</v>
      </c>
      <c r="AI82" s="10" t="n">
        <v>6794400</v>
      </c>
    </row>
    <row r="83" customFormat="false" ht="15" hidden="false" customHeight="false" outlineLevel="0" collapsed="false">
      <c r="A83" s="3" t="n">
        <v>80</v>
      </c>
      <c r="B83" s="4" t="s">
        <v>117</v>
      </c>
      <c r="C83" s="5" t="n">
        <v>-5.32</v>
      </c>
      <c r="D83" s="6" t="n">
        <f aca="false">IFERROR(V83/W83-1,"")</f>
        <v>-0.00662711888693057</v>
      </c>
      <c r="E83" s="6" t="n">
        <f aca="false">IFERROR(AA83/AB83-1,"")</f>
        <v>-0.00368267607795003</v>
      </c>
      <c r="F83" s="3" t="str">
        <f aca="false">IF(OR(D83="",E83=""),"n/a (new)",IF(D83&gt;=0,IF(E83&gt;=0,"Long Buildup","Short Covering"),IF(E83&gt;=0,"Short Buildup","Long Unwinding")))</f>
        <v>Long Unwinding</v>
      </c>
      <c r="G83" s="6" t="n">
        <f aca="false">IFERROR(V83/X83-1,"")</f>
        <v>-0.0286324786324788</v>
      </c>
      <c r="H83" s="6" t="n">
        <f aca="false">IFERROR(AA83/AC83-1,"")</f>
        <v>0.0173926668755875</v>
      </c>
      <c r="I83" s="3" t="str">
        <f aca="false">IF(OR(G83="",H83=""),"n/a (new)",IF(G83&gt;=0,IF(H83&gt;=0,"Long Buildup","Short Covering"),IF(H83&gt;=0,"Short Buildup","Long Unwinding")))</f>
        <v>Short Buildup</v>
      </c>
      <c r="J83" s="6" t="n">
        <f aca="false">IFERROR(V83/Y83-1,"")</f>
        <v>-0.0155981540646077</v>
      </c>
      <c r="K83" s="6" t="n">
        <f aca="false">IFERROR(AA83/AD83-1,"")</f>
        <v>0.0323555131568487</v>
      </c>
      <c r="L83" s="3" t="str">
        <f aca="false">IF(OR(J83="",K83=""),"n/a (new)",IF(J83&gt;=0,IF(K83&gt;=0,"Long Buildup","Short Covering"),IF(K83&gt;=0,"Short Buildup","Long Unwinding")))</f>
        <v>Short Buildup</v>
      </c>
      <c r="M83" s="6" t="n">
        <f aca="false">IFERROR(V83/Z83-1,"")</f>
        <v>0.00336498104032179</v>
      </c>
      <c r="N83" s="6" t="n">
        <f aca="false">IFERROR(AA83/AE83-1,"")</f>
        <v>-0.189084551017859</v>
      </c>
      <c r="O83" s="3" t="str">
        <f aca="false">IF(OR(M83="",N83=""),"n/a (new)",IF(M83&gt;=0,IF(N83&gt;=0,"Long Buildup","Short Covering"),IF(N83&gt;=0,"Short Buildup","Long Unwinding")))</f>
        <v>Short Covering</v>
      </c>
      <c r="P83" s="7" t="n">
        <f aca="false">IFERROR(AF83/AG83,"")</f>
        <v>0.615543457856204</v>
      </c>
      <c r="Q83" s="7" t="n">
        <f aca="false">IFERROR(AH83/AI83,"")</f>
        <v>0.887218045112782</v>
      </c>
      <c r="V83" s="9" t="n">
        <v>1386.53</v>
      </c>
      <c r="W83" s="9" t="n">
        <v>1395.78</v>
      </c>
      <c r="X83" s="9" t="n">
        <v>1427.4</v>
      </c>
      <c r="Y83" s="9" t="n">
        <v>1408.5</v>
      </c>
      <c r="Z83" s="9" t="n">
        <v>1381.88</v>
      </c>
      <c r="AA83" s="10" t="n">
        <v>5519050</v>
      </c>
      <c r="AB83" s="10" t="n">
        <v>5539450</v>
      </c>
      <c r="AC83" s="10" t="n">
        <v>5424700</v>
      </c>
      <c r="AD83" s="10" t="n">
        <v>5346075</v>
      </c>
      <c r="AE83" s="10" t="n">
        <v>6805950</v>
      </c>
      <c r="AF83" s="10" t="n">
        <v>1393575</v>
      </c>
      <c r="AG83" s="10" t="n">
        <v>2263975</v>
      </c>
      <c r="AH83" s="10" t="n">
        <v>1303900</v>
      </c>
      <c r="AI83" s="10" t="n">
        <v>1469650</v>
      </c>
    </row>
    <row r="84" customFormat="false" ht="15" hidden="false" customHeight="false" outlineLevel="0" collapsed="false">
      <c r="A84" s="3" t="n">
        <v>81</v>
      </c>
      <c r="B84" s="4" t="s">
        <v>118</v>
      </c>
      <c r="C84" s="5" t="n">
        <v>-5.33</v>
      </c>
      <c r="D84" s="6" t="n">
        <f aca="false">IFERROR(V84/W84-1,"")</f>
        <v>-0.00499269432796545</v>
      </c>
      <c r="E84" s="6" t="n">
        <f aca="false">IFERROR(AA84/AB84-1,"")</f>
        <v>0.00844971247506154</v>
      </c>
      <c r="F84" s="3" t="str">
        <f aca="false">IF(OR(D84="",E84=""),"n/a (new)",IF(D84&gt;=0,IF(E84&gt;=0,"Long Buildup","Short Covering"),IF(E84&gt;=0,"Short Buildup","Long Unwinding")))</f>
        <v>Short Buildup</v>
      </c>
      <c r="G84" s="6" t="n">
        <f aca="false">IFERROR(V84/X84-1,"")</f>
        <v>-0.0186066273430533</v>
      </c>
      <c r="H84" s="6" t="n">
        <f aca="false">IFERROR(AA84/AC84-1,"")</f>
        <v>0.0492063492063493</v>
      </c>
      <c r="I84" s="3" t="str">
        <f aca="false">IF(OR(G84="",H84=""),"n/a (new)",IF(G84&gt;=0,IF(H84&gt;=0,"Long Buildup","Short Covering"),IF(H84&gt;=0,"Short Buildup","Long Unwinding")))</f>
        <v>Short Buildup</v>
      </c>
      <c r="J84" s="6" t="n">
        <f aca="false">IFERROR(V84/Y84-1,"")</f>
        <v>0.0558632760218265</v>
      </c>
      <c r="K84" s="6" t="n">
        <f aca="false">IFERROR(AA84/AD84-1,"")</f>
        <v>0.0248062015503876</v>
      </c>
      <c r="L84" s="3" t="str">
        <f aca="false">IF(OR(J84="",K84=""),"n/a (new)",IF(J84&gt;=0,IF(K84&gt;=0,"Long Buildup","Short Covering"),IF(K84&gt;=0,"Short Buildup","Long Unwinding")))</f>
        <v>Long Buildup</v>
      </c>
      <c r="M84" s="6" t="n">
        <f aca="false">IFERROR(V84/Z84-1,"")</f>
        <v>-0.0456409139721906</v>
      </c>
      <c r="N84" s="6" t="n">
        <f aca="false">IFERROR(AA84/AE84-1,"")</f>
        <v>0.0393081761006289</v>
      </c>
      <c r="O84" s="3" t="str">
        <f aca="false">IF(OR(M84="",N84=""),"n/a (new)",IF(M84&gt;=0,IF(N84&gt;=0,"Long Buildup","Short Covering"),IF(N84&gt;=0,"Short Buildup","Long Unwinding")))</f>
        <v>Short Buildup</v>
      </c>
      <c r="P84" s="7" t="n">
        <f aca="false">IFERROR(AF84/AG84,"")</f>
        <v>0.697119448598739</v>
      </c>
      <c r="Q84" s="7" t="n">
        <f aca="false">IFERROR(AH84/AI84,"")</f>
        <v>0.603604189707892</v>
      </c>
      <c r="V84" s="9" t="n">
        <v>5127.8</v>
      </c>
      <c r="W84" s="9" t="n">
        <v>5153.53</v>
      </c>
      <c r="X84" s="9" t="n">
        <v>5225.02</v>
      </c>
      <c r="Y84" s="9" t="n">
        <v>4856.5</v>
      </c>
      <c r="Z84" s="9" t="n">
        <v>5373.03</v>
      </c>
      <c r="AA84" s="10" t="n">
        <v>3866850</v>
      </c>
      <c r="AB84" s="10" t="n">
        <v>3834450</v>
      </c>
      <c r="AC84" s="10" t="n">
        <v>3685500</v>
      </c>
      <c r="AD84" s="10" t="n">
        <v>3773250</v>
      </c>
      <c r="AE84" s="10" t="n">
        <v>3720600</v>
      </c>
      <c r="AF84" s="10" t="n">
        <v>1608150</v>
      </c>
      <c r="AG84" s="10" t="n">
        <v>2306850</v>
      </c>
      <c r="AH84" s="10" t="n">
        <v>1391700</v>
      </c>
      <c r="AI84" s="10" t="n">
        <v>2305650</v>
      </c>
    </row>
    <row r="85" customFormat="false" ht="15" hidden="false" customHeight="false" outlineLevel="0" collapsed="false">
      <c r="A85" s="3" t="n">
        <v>82</v>
      </c>
      <c r="B85" s="4" t="s">
        <v>119</v>
      </c>
      <c r="C85" s="5" t="n">
        <v>-5.34</v>
      </c>
      <c r="D85" s="6" t="n">
        <f aca="false">IFERROR(V85/W85-1,"")</f>
        <v>-0.0164392523364485</v>
      </c>
      <c r="E85" s="6" t="n">
        <f aca="false">IFERROR(AA85/AB85-1,"")</f>
        <v>-0.0973239723239723</v>
      </c>
      <c r="F85" s="3" t="str">
        <f aca="false">IF(OR(D85="",E85=""),"n/a (new)",IF(D85&gt;=0,IF(E85&gt;=0,"Long Buildup","Short Covering"),IF(E85&gt;=0,"Short Buildup","Long Unwinding")))</f>
        <v>Long Unwinding</v>
      </c>
      <c r="G85" s="6" t="n">
        <f aca="false">IFERROR(V85/X85-1,"")</f>
        <v>-0.0558974450983206</v>
      </c>
      <c r="H85" s="6" t="n">
        <f aca="false">IFERROR(AA85/AC85-1,"")</f>
        <v>-0.0456134688827927</v>
      </c>
      <c r="I85" s="3" t="str">
        <f aca="false">IF(OR(G85="",H85=""),"n/a (new)",IF(G85&gt;=0,IF(H85&gt;=0,"Long Buildup","Short Covering"),IF(H85&gt;=0,"Short Buildup","Long Unwinding")))</f>
        <v>Long Unwinding</v>
      </c>
      <c r="J85" s="6" t="n">
        <f aca="false">IFERROR(V85/Y85-1,"")</f>
        <v>0.00158935607286304</v>
      </c>
      <c r="K85" s="6" t="n">
        <f aca="false">IFERROR(AA85/AD85-1,"")</f>
        <v>-0.0933571793561574</v>
      </c>
      <c r="L85" s="3" t="str">
        <f aca="false">IF(OR(J85="",K85=""),"n/a (new)",IF(J85&gt;=0,IF(K85&gt;=0,"Long Buildup","Short Covering"),IF(K85&gt;=0,"Short Buildup","Long Unwinding")))</f>
        <v>Short Covering</v>
      </c>
      <c r="M85" s="6" t="n">
        <f aca="false">IFERROR(V85/Z85-1,"")</f>
        <v>-0.0989948974350192</v>
      </c>
      <c r="N85" s="6" t="n">
        <f aca="false">IFERROR(AA85/AE85-1,"")</f>
        <v>-0.264691255698301</v>
      </c>
      <c r="O85" s="3" t="str">
        <f aca="false">IF(OR(M85="",N85=""),"n/a (new)",IF(M85&gt;=0,IF(N85&gt;=0,"Long Buildup","Short Covering"),IF(N85&gt;=0,"Short Buildup","Long Unwinding")))</f>
        <v>Long Unwinding</v>
      </c>
      <c r="P85" s="7" t="n">
        <f aca="false">IFERROR(AF85/AG85,"")</f>
        <v>0.789908527589259</v>
      </c>
      <c r="Q85" s="7" t="n">
        <f aca="false">IFERROR(AH85/AI85,"")</f>
        <v>0.790522185330516</v>
      </c>
      <c r="V85" s="9" t="n">
        <v>1052.41</v>
      </c>
      <c r="W85" s="9" t="n">
        <v>1070</v>
      </c>
      <c r="X85" s="9" t="n">
        <v>1114.72</v>
      </c>
      <c r="Y85" s="9" t="n">
        <v>1050.74</v>
      </c>
      <c r="Z85" s="9" t="n">
        <v>1168.04</v>
      </c>
      <c r="AA85" s="10" t="n">
        <v>7540775</v>
      </c>
      <c r="AB85" s="10" t="n">
        <v>8353800</v>
      </c>
      <c r="AC85" s="10" t="n">
        <v>7901175</v>
      </c>
      <c r="AD85" s="10" t="n">
        <v>8317250</v>
      </c>
      <c r="AE85" s="10" t="n">
        <v>10255250</v>
      </c>
      <c r="AF85" s="10" t="n">
        <v>3413175</v>
      </c>
      <c r="AG85" s="10" t="n">
        <v>4320975</v>
      </c>
      <c r="AH85" s="10" t="n">
        <v>3339225</v>
      </c>
      <c r="AI85" s="10" t="n">
        <v>4224075</v>
      </c>
    </row>
    <row r="86" customFormat="false" ht="15" hidden="false" customHeight="false" outlineLevel="0" collapsed="false">
      <c r="A86" s="3" t="n">
        <v>83</v>
      </c>
      <c r="B86" s="4" t="s">
        <v>120</v>
      </c>
      <c r="C86" s="5" t="n">
        <v>-5.34</v>
      </c>
      <c r="D86" s="6" t="n">
        <f aca="false">IFERROR(V86/W86-1,"")</f>
        <v>-0.0137935091098922</v>
      </c>
      <c r="E86" s="6" t="n">
        <f aca="false">IFERROR(AA86/AB86-1,"")</f>
        <v>0.00618605757792046</v>
      </c>
      <c r="F86" s="3" t="str">
        <f aca="false">IF(OR(D86="",E86=""),"n/a (new)",IF(D86&gt;=0,IF(E86&gt;=0,"Long Buildup","Short Covering"),IF(E86&gt;=0,"Short Buildup","Long Unwinding")))</f>
        <v>Short Buildup</v>
      </c>
      <c r="G86" s="6" t="n">
        <f aca="false">IFERROR(V86/X86-1,"")</f>
        <v>-0.0419285714285714</v>
      </c>
      <c r="H86" s="6" t="n">
        <f aca="false">IFERROR(AA86/AC86-1,"")</f>
        <v>0.0422245954160847</v>
      </c>
      <c r="I86" s="3" t="str">
        <f aca="false">IF(OR(G86="",H86=""),"n/a (new)",IF(G86&gt;=0,IF(H86&gt;=0,"Long Buildup","Short Covering"),IF(H86&gt;=0,"Short Buildup","Long Unwinding")))</f>
        <v>Short Buildup</v>
      </c>
      <c r="J86" s="6" t="n">
        <f aca="false">IFERROR(V86/Y86-1,"")</f>
        <v>0.0123018867924527</v>
      </c>
      <c r="K86" s="6" t="n">
        <f aca="false">IFERROR(AA86/AD86-1,"")</f>
        <v>0.00387719575882262</v>
      </c>
      <c r="L86" s="3" t="str">
        <f aca="false">IF(OR(J86="",K86=""),"n/a (new)",IF(J86&gt;=0,IF(K86&gt;=0,"Long Buildup","Short Covering"),IF(K86&gt;=0,"Short Buildup","Long Unwinding")))</f>
        <v>Long Buildup</v>
      </c>
      <c r="M86" s="6" t="n">
        <f aca="false">IFERROR(V86/Z86-1,"")</f>
        <v>-0.0474127522974873</v>
      </c>
      <c r="N86" s="6" t="n">
        <f aca="false">IFERROR(AA86/AE86-1,"")</f>
        <v>-0.0183379758588672</v>
      </c>
      <c r="O86" s="3" t="str">
        <f aca="false">IF(OR(M86="",N86=""),"n/a (new)",IF(M86&gt;=0,IF(N86&gt;=0,"Long Buildup","Short Covering"),IF(N86&gt;=0,"Short Buildup","Long Unwinding")))</f>
        <v>Long Unwinding</v>
      </c>
      <c r="P86" s="7" t="n">
        <f aca="false">IFERROR(AF86/AG86,"")</f>
        <v>0.598375634517767</v>
      </c>
      <c r="Q86" s="7" t="n">
        <f aca="false">IFERROR(AH86/AI86,"")</f>
        <v>0.999264345267288</v>
      </c>
      <c r="V86" s="9" t="n">
        <v>670.65</v>
      </c>
      <c r="W86" s="9" t="n">
        <v>680.03</v>
      </c>
      <c r="X86" s="9" t="n">
        <v>700</v>
      </c>
      <c r="Y86" s="9" t="n">
        <v>662.5</v>
      </c>
      <c r="Z86" s="9" t="n">
        <v>704.03</v>
      </c>
      <c r="AA86" s="10" t="n">
        <v>10466775</v>
      </c>
      <c r="AB86" s="10" t="n">
        <v>10402425</v>
      </c>
      <c r="AC86" s="10" t="n">
        <v>10042725</v>
      </c>
      <c r="AD86" s="10" t="n">
        <v>10426350</v>
      </c>
      <c r="AE86" s="10" t="n">
        <v>10662300</v>
      </c>
      <c r="AF86" s="10" t="n">
        <v>2431275</v>
      </c>
      <c r="AG86" s="10" t="n">
        <v>4063125</v>
      </c>
      <c r="AH86" s="10" t="n">
        <v>3361875</v>
      </c>
      <c r="AI86" s="10" t="n">
        <v>3364350</v>
      </c>
    </row>
    <row r="87" customFormat="false" ht="15" hidden="false" customHeight="false" outlineLevel="0" collapsed="false">
      <c r="A87" s="3" t="n">
        <v>84</v>
      </c>
      <c r="B87" s="4" t="s">
        <v>121</v>
      </c>
      <c r="C87" s="5" t="n">
        <v>-5.47</v>
      </c>
      <c r="D87" s="6" t="n">
        <f aca="false">IFERROR(V87/W87-1,"")</f>
        <v>-0.0141367892803559</v>
      </c>
      <c r="E87" s="6" t="n">
        <f aca="false">IFERROR(AA87/AB87-1,"")</f>
        <v>-0.0043202564281235</v>
      </c>
      <c r="F87" s="3" t="str">
        <f aca="false">IF(OR(D87="",E87=""),"n/a (new)",IF(D87&gt;=0,IF(E87&gt;=0,"Long Buildup","Short Covering"),IF(E87&gt;=0,"Short Buildup","Long Unwinding")))</f>
        <v>Long Unwinding</v>
      </c>
      <c r="G87" s="6" t="n">
        <f aca="false">IFERROR(V87/X87-1,"")</f>
        <v>-0.0193918290156995</v>
      </c>
      <c r="H87" s="6" t="n">
        <f aca="false">IFERROR(AA87/AC87-1,"")</f>
        <v>-0.00705326430631315</v>
      </c>
      <c r="I87" s="3" t="str">
        <f aca="false">IF(OR(G87="",H87=""),"n/a (new)",IF(G87&gt;=0,IF(H87&gt;=0,"Long Buildup","Short Covering"),IF(H87&gt;=0,"Short Buildup","Long Unwinding")))</f>
        <v>Long Unwinding</v>
      </c>
      <c r="J87" s="6" t="n">
        <f aca="false">IFERROR(V87/Y87-1,"")</f>
        <v>-0.0114560412244563</v>
      </c>
      <c r="K87" s="6" t="n">
        <f aca="false">IFERROR(AA87/AD87-1,"")</f>
        <v>-0.012474515359895</v>
      </c>
      <c r="L87" s="3" t="str">
        <f aca="false">IF(OR(J87="",K87=""),"n/a (new)",IF(J87&gt;=0,IF(K87&gt;=0,"Long Buildup","Short Covering"),IF(K87&gt;=0,"Short Buildup","Long Unwinding")))</f>
        <v>Long Unwinding</v>
      </c>
      <c r="M87" s="6" t="n">
        <f aca="false">IFERROR(V87/Z87-1,"")</f>
        <v>-0.0660777298568908</v>
      </c>
      <c r="N87" s="6" t="n">
        <f aca="false">IFERROR(AA87/AE87-1,"")</f>
        <v>-0.0405237535672318</v>
      </c>
      <c r="O87" s="3" t="str">
        <f aca="false">IF(OR(M87="",N87=""),"n/a (new)",IF(M87&gt;=0,IF(N87&gt;=0,"Long Buildup","Short Covering"),IF(N87&gt;=0,"Short Buildup","Long Unwinding")))</f>
        <v>Long Unwinding</v>
      </c>
      <c r="P87" s="7" t="n">
        <f aca="false">IFERROR(AF87/AG87,"")</f>
        <v>0.548127265404752</v>
      </c>
      <c r="Q87" s="7" t="n">
        <f aca="false">IFERROR(AH87/AI87,"")</f>
        <v>0.501978335603555</v>
      </c>
      <c r="V87" s="9" t="n">
        <v>2286.69</v>
      </c>
      <c r="W87" s="9" t="n">
        <v>2319.48</v>
      </c>
      <c r="X87" s="9" t="n">
        <v>2331.91</v>
      </c>
      <c r="Y87" s="9" t="n">
        <v>2313.19</v>
      </c>
      <c r="Z87" s="9" t="n">
        <v>2448.48</v>
      </c>
      <c r="AA87" s="10" t="n">
        <v>7144500</v>
      </c>
      <c r="AB87" s="10" t="n">
        <v>7175500</v>
      </c>
      <c r="AC87" s="10" t="n">
        <v>7195250</v>
      </c>
      <c r="AD87" s="10" t="n">
        <v>7234750</v>
      </c>
      <c r="AE87" s="10" t="n">
        <v>7446250</v>
      </c>
      <c r="AF87" s="10" t="n">
        <v>2722000</v>
      </c>
      <c r="AG87" s="10" t="n">
        <v>4966000</v>
      </c>
      <c r="AH87" s="10" t="n">
        <v>1934750</v>
      </c>
      <c r="AI87" s="10" t="n">
        <v>3854250</v>
      </c>
    </row>
    <row r="88" customFormat="false" ht="15" hidden="false" customHeight="false" outlineLevel="0" collapsed="false">
      <c r="A88" s="3" t="n">
        <v>85</v>
      </c>
      <c r="B88" s="4" t="s">
        <v>122</v>
      </c>
      <c r="C88" s="5" t="n">
        <v>-5.58</v>
      </c>
      <c r="D88" s="6" t="n">
        <f aca="false">IFERROR(V88/W88-1,"")</f>
        <v>-0.0185022774209976</v>
      </c>
      <c r="E88" s="6" t="n">
        <f aca="false">IFERROR(AA88/AB88-1,"")</f>
        <v>0.02772750646107</v>
      </c>
      <c r="F88" s="3" t="str">
        <f aca="false">IF(OR(D88="",E88=""),"n/a (new)",IF(D88&gt;=0,IF(E88&gt;=0,"Long Buildup","Short Covering"),IF(E88&gt;=0,"Short Buildup","Long Unwinding")))</f>
        <v>Short Buildup</v>
      </c>
      <c r="G88" s="6" t="n">
        <f aca="false">IFERROR(V88/X88-1,"")</f>
        <v>-0.0479940727731738</v>
      </c>
      <c r="H88" s="6" t="n">
        <f aca="false">IFERROR(AA88/AC88-1,"")</f>
        <v>0.0447619338567495</v>
      </c>
      <c r="I88" s="3" t="str">
        <f aca="false">IF(OR(G88="",H88=""),"n/a (new)",IF(G88&gt;=0,IF(H88&gt;=0,"Long Buildup","Short Covering"),IF(H88&gt;=0,"Short Buildup","Long Unwinding")))</f>
        <v>Short Buildup</v>
      </c>
      <c r="J88" s="6" t="n">
        <f aca="false">IFERROR(V88/Y88-1,"")</f>
        <v>0.00223888142595086</v>
      </c>
      <c r="K88" s="6" t="n">
        <f aca="false">IFERROR(AA88/AD88-1,"")</f>
        <v>0.0430059064923976</v>
      </c>
      <c r="L88" s="3" t="str">
        <f aca="false">IF(OR(J88="",K88=""),"n/a (new)",IF(J88&gt;=0,IF(K88&gt;=0,"Long Buildup","Short Covering"),IF(K88&gt;=0,"Short Buildup","Long Unwinding")))</f>
        <v>Long Buildup</v>
      </c>
      <c r="M88" s="6" t="n">
        <f aca="false">IFERROR(V88/Z88-1,"")</f>
        <v>-0.0605867778665331</v>
      </c>
      <c r="N88" s="6" t="n">
        <f aca="false">IFERROR(AA88/AE88-1,"")</f>
        <v>-0.00334173083523848</v>
      </c>
      <c r="O88" s="3" t="str">
        <f aca="false">IF(OR(M88="",N88=""),"n/a (new)",IF(M88&gt;=0,IF(N88&gt;=0,"Long Buildup","Short Covering"),IF(N88&gt;=0,"Short Buildup","Long Unwinding")))</f>
        <v>Long Unwinding</v>
      </c>
      <c r="P88" s="7" t="n">
        <f aca="false">IFERROR(AF88/AG88,"")</f>
        <v>0.491999559356109</v>
      </c>
      <c r="Q88" s="7" t="n">
        <f aca="false">IFERROR(AH88/AI88,"")</f>
        <v>0.473520615739616</v>
      </c>
      <c r="V88" s="9" t="n">
        <v>693.86</v>
      </c>
      <c r="W88" s="9" t="n">
        <v>706.94</v>
      </c>
      <c r="X88" s="9" t="n">
        <v>728.84</v>
      </c>
      <c r="Y88" s="9" t="n">
        <v>692.31</v>
      </c>
      <c r="Z88" s="9" t="n">
        <v>738.61</v>
      </c>
      <c r="AA88" s="10" t="n">
        <v>400127000</v>
      </c>
      <c r="AB88" s="10" t="n">
        <v>389331800</v>
      </c>
      <c r="AC88" s="10" t="n">
        <v>382983900</v>
      </c>
      <c r="AD88" s="10" t="n">
        <v>383628700</v>
      </c>
      <c r="AE88" s="10" t="n">
        <v>401468600</v>
      </c>
      <c r="AF88" s="10" t="n">
        <v>92896700</v>
      </c>
      <c r="AG88" s="10" t="n">
        <v>188814600</v>
      </c>
      <c r="AH88" s="10" t="n">
        <v>81098550</v>
      </c>
      <c r="AI88" s="10" t="n">
        <v>171267200</v>
      </c>
    </row>
    <row r="89" customFormat="false" ht="15" hidden="false" customHeight="false" outlineLevel="0" collapsed="false">
      <c r="A89" s="3" t="n">
        <v>86</v>
      </c>
      <c r="B89" s="4" t="s">
        <v>123</v>
      </c>
      <c r="C89" s="5" t="n">
        <v>-5.76</v>
      </c>
      <c r="D89" s="6" t="n">
        <f aca="false">IFERROR(V89/W89-1,"")</f>
        <v>0.000686341798215695</v>
      </c>
      <c r="E89" s="6" t="n">
        <f aca="false">IFERROR(AA89/AB89-1,"")</f>
        <v>-0.0179119071958753</v>
      </c>
      <c r="F89" s="3" t="str">
        <f aca="false">IF(OR(D89="",E89=""),"n/a (new)",IF(D89&gt;=0,IF(E89&gt;=0,"Long Buildup","Short Covering"),IF(E89&gt;=0,"Short Buildup","Long Unwinding")))</f>
        <v>Short Covering</v>
      </c>
      <c r="G89" s="6" t="n">
        <f aca="false">IFERROR(V89/X89-1,"")</f>
        <v>-0.0276295731707317</v>
      </c>
      <c r="H89" s="6" t="n">
        <f aca="false">IFERROR(AA89/AC89-1,"")</f>
        <v>-0.0366236484129753</v>
      </c>
      <c r="I89" s="3" t="str">
        <f aca="false">IF(OR(G89="",H89=""),"n/a (new)",IF(G89&gt;=0,IF(H89&gt;=0,"Long Buildup","Short Covering"),IF(H89&gt;=0,"Short Buildup","Long Unwinding")))</f>
        <v>Long Unwinding</v>
      </c>
      <c r="J89" s="6" t="n">
        <f aca="false">IFERROR(V89/Y89-1,"")</f>
        <v>-0.00849087764975609</v>
      </c>
      <c r="K89" s="6" t="n">
        <f aca="false">IFERROR(AA89/AD89-1,"")</f>
        <v>-0.083951743294225</v>
      </c>
      <c r="L89" s="3" t="str">
        <f aca="false">IF(OR(J89="",K89=""),"n/a (new)",IF(J89&gt;=0,IF(K89&gt;=0,"Long Buildup","Short Covering"),IF(K89&gt;=0,"Short Buildup","Long Unwinding")))</f>
        <v>Long Unwinding</v>
      </c>
      <c r="M89" s="6" t="n">
        <f aca="false">IFERROR(V89/Z89-1,"")</f>
        <v>-0.129730375019186</v>
      </c>
      <c r="N89" s="6" t="n">
        <f aca="false">IFERROR(AA89/AE89-1,"")</f>
        <v>-0.062537123462028</v>
      </c>
      <c r="O89" s="3" t="str">
        <f aca="false">IF(OR(M89="",N89=""),"n/a (new)",IF(M89&gt;=0,IF(N89&gt;=0,"Long Buildup","Short Covering"),IF(N89&gt;=0,"Short Buildup","Long Unwinding")))</f>
        <v>Long Unwinding</v>
      </c>
      <c r="P89" s="7" t="n">
        <f aca="false">IFERROR(AF89/AG89,"")</f>
        <v>0.74373576309795</v>
      </c>
      <c r="Q89" s="7" t="n">
        <f aca="false">IFERROR(AH89/AI89,"")</f>
        <v>0.879323451159255</v>
      </c>
      <c r="V89" s="9" t="n">
        <v>1530.9</v>
      </c>
      <c r="W89" s="9" t="n">
        <v>1529.85</v>
      </c>
      <c r="X89" s="9" t="n">
        <v>1574.4</v>
      </c>
      <c r="Y89" s="9" t="n">
        <v>1544.01</v>
      </c>
      <c r="Z89" s="9" t="n">
        <v>1759.11</v>
      </c>
      <c r="AA89" s="10" t="n">
        <v>13810000</v>
      </c>
      <c r="AB89" s="10" t="n">
        <v>14061875</v>
      </c>
      <c r="AC89" s="10" t="n">
        <v>14335000</v>
      </c>
      <c r="AD89" s="10" t="n">
        <v>15075625</v>
      </c>
      <c r="AE89" s="10" t="n">
        <v>14731250</v>
      </c>
      <c r="AF89" s="10" t="n">
        <v>3673125</v>
      </c>
      <c r="AG89" s="10" t="n">
        <v>4938750</v>
      </c>
      <c r="AH89" s="10" t="n">
        <v>2891875</v>
      </c>
      <c r="AI89" s="10" t="n">
        <v>3288750</v>
      </c>
    </row>
    <row r="90" customFormat="false" ht="15" hidden="false" customHeight="false" outlineLevel="0" collapsed="false">
      <c r="A90" s="3" t="n">
        <v>87</v>
      </c>
      <c r="B90" s="4" t="s">
        <v>124</v>
      </c>
      <c r="C90" s="5" t="n">
        <v>-5.98</v>
      </c>
      <c r="D90" s="6" t="n">
        <f aca="false">IFERROR(V90/W90-1,"")</f>
        <v>-0.00515581211526028</v>
      </c>
      <c r="E90" s="6" t="n">
        <f aca="false">IFERROR(AA90/AB90-1,"")</f>
        <v>0.00871253159985552</v>
      </c>
      <c r="F90" s="3" t="str">
        <f aca="false">IF(OR(D90="",E90=""),"n/a (new)",IF(D90&gt;=0,IF(E90&gt;=0,"Long Buildup","Short Covering"),IF(E90&gt;=0,"Short Buildup","Long Unwinding")))</f>
        <v>Short Buildup</v>
      </c>
      <c r="G90" s="6" t="n">
        <f aca="false">IFERROR(V90/X90-1,"")</f>
        <v>-0.0189843519338648</v>
      </c>
      <c r="H90" s="6" t="n">
        <f aca="false">IFERROR(AA90/AC90-1,"")</f>
        <v>0.00693975034924077</v>
      </c>
      <c r="I90" s="3" t="str">
        <f aca="false">IF(OR(G90="",H90=""),"n/a (new)",IF(G90&gt;=0,IF(H90&gt;=0,"Long Buildup","Short Covering"),IF(H90&gt;=0,"Short Buildup","Long Unwinding")))</f>
        <v>Short Buildup</v>
      </c>
      <c r="J90" s="6" t="n">
        <f aca="false">IFERROR(V90/Y90-1,"")</f>
        <v>0.0121110955424102</v>
      </c>
      <c r="K90" s="6" t="n">
        <f aca="false">IFERROR(AA90/AD90-1,"")</f>
        <v>0.0352575982209045</v>
      </c>
      <c r="L90" s="3" t="str">
        <f aca="false">IF(OR(J90="",K90=""),"n/a (new)",IF(J90&gt;=0,IF(K90&gt;=0,"Long Buildup","Short Covering"),IF(K90&gt;=0,"Short Buildup","Long Unwinding")))</f>
        <v>Long Buildup</v>
      </c>
      <c r="M90" s="6" t="n">
        <f aca="false">IFERROR(V90/Z90-1,"")</f>
        <v>-0.084176290620435</v>
      </c>
      <c r="N90" s="6" t="n">
        <f aca="false">IFERROR(AA90/AE90-1,"")</f>
        <v>0.0120476470854658</v>
      </c>
      <c r="O90" s="3" t="str">
        <f aca="false">IF(OR(M90="",N90=""),"n/a (new)",IF(M90&gt;=0,IF(N90&gt;=0,"Long Buildup","Short Covering"),IF(N90&gt;=0,"Short Buildup","Long Unwinding")))</f>
        <v>Short Buildup</v>
      </c>
      <c r="P90" s="7" t="n">
        <f aca="false">IFERROR(AF90/AG90,"")</f>
        <v>0.935196950444727</v>
      </c>
      <c r="Q90" s="7" t="n">
        <f aca="false">IFERROR(AH90/AI90,"")</f>
        <v>0.812097114283993</v>
      </c>
      <c r="V90" s="9" t="n">
        <v>1661.35</v>
      </c>
      <c r="W90" s="9" t="n">
        <v>1669.96</v>
      </c>
      <c r="X90" s="9" t="n">
        <v>1693.5</v>
      </c>
      <c r="Y90" s="9" t="n">
        <v>1641.47</v>
      </c>
      <c r="Z90" s="9" t="n">
        <v>1814.05</v>
      </c>
      <c r="AA90" s="10" t="n">
        <v>16200125</v>
      </c>
      <c r="AB90" s="10" t="n">
        <v>16060200</v>
      </c>
      <c r="AC90" s="10" t="n">
        <v>16088475</v>
      </c>
      <c r="AD90" s="10" t="n">
        <v>15648400</v>
      </c>
      <c r="AE90" s="10" t="n">
        <v>16007275</v>
      </c>
      <c r="AF90" s="10" t="n">
        <v>10672000</v>
      </c>
      <c r="AG90" s="10" t="n">
        <v>11411500</v>
      </c>
      <c r="AH90" s="10" t="n">
        <v>9773000</v>
      </c>
      <c r="AI90" s="10" t="n">
        <v>12034275</v>
      </c>
    </row>
    <row r="91" customFormat="false" ht="15" hidden="false" customHeight="false" outlineLevel="0" collapsed="false">
      <c r="A91" s="3" t="n">
        <v>88</v>
      </c>
      <c r="B91" s="4" t="s">
        <v>125</v>
      </c>
      <c r="C91" s="5" t="n">
        <v>-6.07</v>
      </c>
      <c r="D91" s="6" t="n">
        <f aca="false">IFERROR(V91/W91-1,"")</f>
        <v>-0.00464366042669573</v>
      </c>
      <c r="E91" s="6" t="n">
        <f aca="false">IFERROR(AA91/AB91-1,"")</f>
        <v>0.0348006932409013</v>
      </c>
      <c r="F91" s="3" t="str">
        <f aca="false">IF(OR(D91="",E91=""),"n/a (new)",IF(D91&gt;=0,IF(E91&gt;=0,"Long Buildup","Short Covering"),IF(E91&gt;=0,"Short Buildup","Long Unwinding")))</f>
        <v>Short Buildup</v>
      </c>
      <c r="G91" s="6" t="n">
        <f aca="false">IFERROR(V91/X91-1,"")</f>
        <v>-0.0295695576898188</v>
      </c>
      <c r="H91" s="6" t="n">
        <f aca="false">IFERROR(AA91/AC91-1,"")</f>
        <v>0.047043419299025</v>
      </c>
      <c r="I91" s="3" t="str">
        <f aca="false">IF(OR(G91="",H91=""),"n/a (new)",IF(G91&gt;=0,IF(H91&gt;=0,"Long Buildup","Short Covering"),IF(H91&gt;=0,"Short Buildup","Long Unwinding")))</f>
        <v>Short Buildup</v>
      </c>
      <c r="J91" s="6" t="n">
        <f aca="false">IFERROR(V91/Y91-1,"")</f>
        <v>0.035052169338077</v>
      </c>
      <c r="K91" s="6" t="n">
        <f aca="false">IFERROR(AA91/AD91-1,"")</f>
        <v>0.0172182722667698</v>
      </c>
      <c r="L91" s="3" t="str">
        <f aca="false">IF(OR(J91="",K91=""),"n/a (new)",IF(J91&gt;=0,IF(K91&gt;=0,"Long Buildup","Short Covering"),IF(K91&gt;=0,"Short Buildup","Long Unwinding")))</f>
        <v>Long Buildup</v>
      </c>
      <c r="M91" s="6" t="n">
        <f aca="false">IFERROR(V91/Z91-1,"")</f>
        <v>-0.0400942997446854</v>
      </c>
      <c r="N91" s="6" t="n">
        <f aca="false">IFERROR(AA91/AE91-1,"")</f>
        <v>0.0325578177961217</v>
      </c>
      <c r="O91" s="3" t="str">
        <f aca="false">IF(OR(M91="",N91=""),"n/a (new)",IF(M91&gt;=0,IF(N91&gt;=0,"Long Buildup","Short Covering"),IF(N91&gt;=0,"Short Buildup","Long Unwinding")))</f>
        <v>Short Buildup</v>
      </c>
      <c r="P91" s="7" t="n">
        <f aca="false">IFERROR(AF91/AG91,"")</f>
        <v>0.760341683462904</v>
      </c>
      <c r="Q91" s="7" t="n">
        <f aca="false">IFERROR(AH91/AI91,"")</f>
        <v>0.893041384844664</v>
      </c>
      <c r="V91" s="9" t="n">
        <v>3974</v>
      </c>
      <c r="W91" s="9" t="n">
        <v>3992.54</v>
      </c>
      <c r="X91" s="9" t="n">
        <v>4095.09</v>
      </c>
      <c r="Y91" s="9" t="n">
        <v>3839.42</v>
      </c>
      <c r="Z91" s="9" t="n">
        <v>4139.99</v>
      </c>
      <c r="AA91" s="10" t="n">
        <v>7836675</v>
      </c>
      <c r="AB91" s="10" t="n">
        <v>7573125</v>
      </c>
      <c r="AC91" s="10" t="n">
        <v>7484575</v>
      </c>
      <c r="AD91" s="10" t="n">
        <v>7704025</v>
      </c>
      <c r="AE91" s="10" t="n">
        <v>7589575</v>
      </c>
      <c r="AF91" s="10" t="n">
        <v>1386350</v>
      </c>
      <c r="AG91" s="10" t="n">
        <v>1823325</v>
      </c>
      <c r="AH91" s="10" t="n">
        <v>1363250</v>
      </c>
      <c r="AI91" s="10" t="n">
        <v>1526525</v>
      </c>
    </row>
    <row r="92" customFormat="false" ht="15" hidden="false" customHeight="false" outlineLevel="0" collapsed="false">
      <c r="A92" s="3" t="n">
        <v>89</v>
      </c>
      <c r="B92" s="4" t="s">
        <v>126</v>
      </c>
      <c r="C92" s="5" t="n">
        <v>-6.1</v>
      </c>
      <c r="D92" s="6" t="n">
        <f aca="false">IFERROR(V92/W92-1,"")</f>
        <v>-0.000838006832978744</v>
      </c>
      <c r="E92" s="6" t="n">
        <f aca="false">IFERROR(AA92/AB92-1,"")</f>
        <v>0.0249927974647075</v>
      </c>
      <c r="F92" s="3" t="str">
        <f aca="false">IF(OR(D92="",E92=""),"n/a (new)",IF(D92&gt;=0,IF(E92&gt;=0,"Long Buildup","Short Covering"),IF(E92&gt;=0,"Short Buildup","Long Unwinding")))</f>
        <v>Short Buildup</v>
      </c>
      <c r="G92" s="6" t="n">
        <f aca="false">IFERROR(V92/X92-1,"")</f>
        <v>-0.0127388535031847</v>
      </c>
      <c r="H92" s="6" t="n">
        <f aca="false">IFERROR(AA92/AC92-1,"")</f>
        <v>-0.0136540060992515</v>
      </c>
      <c r="I92" s="3" t="str">
        <f aca="false">IF(OR(G92="",H92=""),"n/a (new)",IF(G92&gt;=0,IF(H92&gt;=0,"Long Buildup","Short Covering"),IF(H92&gt;=0,"Short Buildup","Long Unwinding")))</f>
        <v>Long Unwinding</v>
      </c>
      <c r="J92" s="6" t="n">
        <f aca="false">IFERROR(V92/Y92-1,"")</f>
        <v>-0.00289482148600839</v>
      </c>
      <c r="K92" s="6" t="n">
        <f aca="false">IFERROR(AA92/AD92-1,"")</f>
        <v>-0.0343353464070028</v>
      </c>
      <c r="L92" s="3" t="str">
        <f aca="false">IF(OR(J92="",K92=""),"n/a (new)",IF(J92&gt;=0,IF(K92&gt;=0,"Long Buildup","Short Covering"),IF(K92&gt;=0,"Short Buildup","Long Unwinding")))</f>
        <v>Long Unwinding</v>
      </c>
      <c r="M92" s="6" t="n">
        <f aca="false">IFERROR(V92/Z92-1,"")</f>
        <v>-0.0662650602409639</v>
      </c>
      <c r="N92" s="6" t="n">
        <f aca="false">IFERROR(AA92/AE92-1,"")</f>
        <v>-0.0624547071612096</v>
      </c>
      <c r="O92" s="3" t="str">
        <f aca="false">IF(OR(M92="",N92=""),"n/a (new)",IF(M92&gt;=0,IF(N92&gt;=0,"Long Buildup","Short Covering"),IF(N92&gt;=0,"Short Buildup","Long Unwinding")))</f>
        <v>Long Unwinding</v>
      </c>
      <c r="P92" s="7" t="n">
        <f aca="false">IFERROR(AF92/AG92,"")</f>
        <v>0.647046674927716</v>
      </c>
      <c r="Q92" s="7" t="n">
        <f aca="false">IFERROR(AH92/AI92,"")</f>
        <v>0.693317422434368</v>
      </c>
      <c r="V92" s="9" t="n">
        <v>775</v>
      </c>
      <c r="W92" s="9" t="n">
        <v>775.65</v>
      </c>
      <c r="X92" s="9" t="n">
        <v>785</v>
      </c>
      <c r="Y92" s="9" t="n">
        <v>777.25</v>
      </c>
      <c r="Z92" s="9" t="n">
        <v>830</v>
      </c>
      <c r="AA92" s="10" t="n">
        <v>17077200</v>
      </c>
      <c r="AB92" s="10" t="n">
        <v>16660800</v>
      </c>
      <c r="AC92" s="10" t="n">
        <v>17313600</v>
      </c>
      <c r="AD92" s="10" t="n">
        <v>17684400</v>
      </c>
      <c r="AE92" s="10" t="n">
        <v>18214800</v>
      </c>
      <c r="AF92" s="10" t="n">
        <v>3759600</v>
      </c>
      <c r="AG92" s="10" t="n">
        <v>5810400</v>
      </c>
      <c r="AH92" s="10" t="n">
        <v>3486000</v>
      </c>
      <c r="AI92" s="10" t="n">
        <v>5028000</v>
      </c>
    </row>
    <row r="93" customFormat="false" ht="15" hidden="false" customHeight="false" outlineLevel="0" collapsed="false">
      <c r="A93" s="3" t="n">
        <v>90</v>
      </c>
      <c r="B93" s="4" t="s">
        <v>127</v>
      </c>
      <c r="C93" s="5" t="n">
        <v>-6.12</v>
      </c>
      <c r="D93" s="6" t="n">
        <f aca="false">IFERROR(V93/W93-1,"")</f>
        <v>-0.016722833343931</v>
      </c>
      <c r="E93" s="6" t="n">
        <f aca="false">IFERROR(AA93/AB93-1,"")</f>
        <v>-0.0205271751807791</v>
      </c>
      <c r="F93" s="3" t="str">
        <f aca="false">IF(OR(D93="",E93=""),"n/a (new)",IF(D93&gt;=0,IF(E93&gt;=0,"Long Buildup","Short Covering"),IF(E93&gt;=0,"Short Buildup","Long Unwinding")))</f>
        <v>Long Unwinding</v>
      </c>
      <c r="G93" s="6" t="n">
        <f aca="false">IFERROR(V93/X93-1,"")</f>
        <v>-0.0335000000000001</v>
      </c>
      <c r="H93" s="6" t="n">
        <f aca="false">IFERROR(AA93/AC93-1,"")</f>
        <v>0.000476530855372914</v>
      </c>
      <c r="I93" s="3" t="str">
        <f aca="false">IF(OR(G93="",H93=""),"n/a (new)",IF(G93&gt;=0,IF(H93&gt;=0,"Long Buildup","Short Covering"),IF(H93&gt;=0,"Short Buildup","Long Unwinding")))</f>
        <v>Short Buildup</v>
      </c>
      <c r="J93" s="6" t="n">
        <f aca="false">IFERROR(V93/Y93-1,"")</f>
        <v>0.0101907499346745</v>
      </c>
      <c r="K93" s="6" t="n">
        <f aca="false">IFERROR(AA93/AD93-1,"")</f>
        <v>0.00011909015124445</v>
      </c>
      <c r="L93" s="3" t="str">
        <f aca="false">IF(OR(J93="",K93=""),"n/a (new)",IF(J93&gt;=0,IF(K93&gt;=0,"Long Buildup","Short Covering"),IF(K93&gt;=0,"Short Buildup","Long Unwinding")))</f>
        <v>Long Buildup</v>
      </c>
      <c r="M93" s="6" t="n">
        <f aca="false">IFERROR(V93/Z93-1,"")</f>
        <v>-0.0440749211843977</v>
      </c>
      <c r="N93" s="6" t="n">
        <f aca="false">IFERROR(AA93/AE93-1,"")</f>
        <v>0.0795732099241548</v>
      </c>
      <c r="O93" s="3" t="str">
        <f aca="false">IF(OR(M93="",N93=""),"n/a (new)",IF(M93&gt;=0,IF(N93&gt;=0,"Long Buildup","Short Covering"),IF(N93&gt;=0,"Short Buildup","Long Unwinding")))</f>
        <v>Short Buildup</v>
      </c>
      <c r="P93" s="7" t="n">
        <f aca="false">IFERROR(AF93/AG93,"")</f>
        <v>0.664504012292983</v>
      </c>
      <c r="Q93" s="7" t="n">
        <f aca="false">IFERROR(AH93/AI93,"")</f>
        <v>0.568276090924175</v>
      </c>
      <c r="V93" s="9" t="n">
        <v>154.64</v>
      </c>
      <c r="W93" s="9" t="n">
        <v>157.27</v>
      </c>
      <c r="X93" s="9" t="n">
        <v>160</v>
      </c>
      <c r="Y93" s="9" t="n">
        <v>153.08</v>
      </c>
      <c r="Z93" s="9" t="n">
        <v>161.77</v>
      </c>
      <c r="AA93" s="10" t="n">
        <v>154943100</v>
      </c>
      <c r="AB93" s="10" t="n">
        <v>158190300</v>
      </c>
      <c r="AC93" s="10" t="n">
        <v>154869300</v>
      </c>
      <c r="AD93" s="10" t="n">
        <v>154924650</v>
      </c>
      <c r="AE93" s="10" t="n">
        <v>143522550</v>
      </c>
      <c r="AF93" s="10" t="n">
        <v>23935800</v>
      </c>
      <c r="AG93" s="10" t="n">
        <v>36020550</v>
      </c>
      <c r="AH93" s="10" t="n">
        <v>21063750</v>
      </c>
      <c r="AI93" s="10" t="n">
        <v>37066050</v>
      </c>
    </row>
    <row r="94" customFormat="false" ht="15" hidden="false" customHeight="false" outlineLevel="0" collapsed="false">
      <c r="A94" s="3" t="n">
        <v>91</v>
      </c>
      <c r="B94" s="4" t="s">
        <v>128</v>
      </c>
      <c r="C94" s="5" t="n">
        <v>-6.3</v>
      </c>
      <c r="D94" s="6" t="n">
        <f aca="false">IFERROR(V94/W94-1,"")</f>
        <v>-0.00634407846993013</v>
      </c>
      <c r="E94" s="6" t="n">
        <f aca="false">IFERROR(AA94/AB94-1,"")</f>
        <v>-0.00767440709016187</v>
      </c>
      <c r="F94" s="3" t="str">
        <f aca="false">IF(OR(D94="",E94=""),"n/a (new)",IF(D94&gt;=0,IF(E94&gt;=0,"Long Buildup","Short Covering"),IF(E94&gt;=0,"Short Buildup","Long Unwinding")))</f>
        <v>Long Unwinding</v>
      </c>
      <c r="G94" s="6" t="n">
        <f aca="false">IFERROR(V94/X94-1,"")</f>
        <v>-0.0525446428571429</v>
      </c>
      <c r="H94" s="6" t="n">
        <f aca="false">IFERROR(AA94/AC94-1,"")</f>
        <v>-0.00924415443175641</v>
      </c>
      <c r="I94" s="3" t="str">
        <f aca="false">IF(OR(G94="",H94=""),"n/a (new)",IF(G94&gt;=0,IF(H94&gt;=0,"Long Buildup","Short Covering"),IF(H94&gt;=0,"Short Buildup","Long Unwinding")))</f>
        <v>Long Unwinding</v>
      </c>
      <c r="J94" s="6" t="n">
        <f aca="false">IFERROR(V94/Y94-1,"")</f>
        <v>-0.0219815668202765</v>
      </c>
      <c r="K94" s="6" t="n">
        <f aca="false">IFERROR(AA94/AD94-1,"")</f>
        <v>-0.00944002372361985</v>
      </c>
      <c r="L94" s="3" t="str">
        <f aca="false">IF(OR(J94="",K94=""),"n/a (new)",IF(J94&gt;=0,IF(K94&gt;=0,"Long Buildup","Short Covering"),IF(K94&gt;=0,"Short Buildup","Long Unwinding")))</f>
        <v>Long Unwinding</v>
      </c>
      <c r="M94" s="6" t="n">
        <f aca="false">IFERROR(V94/Z94-1,"")</f>
        <v>-0.0911504614264608</v>
      </c>
      <c r="N94" s="6" t="n">
        <f aca="false">IFERROR(AA94/AE94-1,"")</f>
        <v>-0.0425643720441409</v>
      </c>
      <c r="O94" s="3" t="str">
        <f aca="false">IF(OR(M94="",N94=""),"n/a (new)",IF(M94&gt;=0,IF(N94&gt;=0,"Long Buildup","Short Covering"),IF(N94&gt;=0,"Short Buildup","Long Unwinding")))</f>
        <v>Long Unwinding</v>
      </c>
      <c r="P94" s="7" t="n">
        <f aca="false">IFERROR(AF94/AG94,"")</f>
        <v>0.752523607945295</v>
      </c>
      <c r="Q94" s="7" t="n">
        <f aca="false">IFERROR(AH94/AI94,"")</f>
        <v>0.652978918423465</v>
      </c>
      <c r="V94" s="9" t="n">
        <v>424.46</v>
      </c>
      <c r="W94" s="9" t="n">
        <v>427.17</v>
      </c>
      <c r="X94" s="9" t="n">
        <v>448</v>
      </c>
      <c r="Y94" s="9" t="n">
        <v>434</v>
      </c>
      <c r="Z94" s="9" t="n">
        <v>467.03</v>
      </c>
      <c r="AA94" s="10" t="n">
        <v>25052500</v>
      </c>
      <c r="AB94" s="10" t="n">
        <v>25246250</v>
      </c>
      <c r="AC94" s="10" t="n">
        <v>25286250</v>
      </c>
      <c r="AD94" s="10" t="n">
        <v>25291250</v>
      </c>
      <c r="AE94" s="10" t="n">
        <v>26166250</v>
      </c>
      <c r="AF94" s="10" t="n">
        <v>5777500</v>
      </c>
      <c r="AG94" s="10" t="n">
        <v>7677500</v>
      </c>
      <c r="AH94" s="10" t="n">
        <v>4452500</v>
      </c>
      <c r="AI94" s="10" t="n">
        <v>6818750</v>
      </c>
    </row>
    <row r="95" customFormat="false" ht="15" hidden="false" customHeight="false" outlineLevel="0" collapsed="false">
      <c r="A95" s="3" t="n">
        <v>92</v>
      </c>
      <c r="B95" s="4" t="s">
        <v>129</v>
      </c>
      <c r="C95" s="5" t="n">
        <v>-6.38</v>
      </c>
      <c r="D95" s="6" t="n">
        <f aca="false">IFERROR(V95/W95-1,"")</f>
        <v>-0.0143377590673576</v>
      </c>
      <c r="E95" s="6" t="n">
        <f aca="false">IFERROR(AA95/AB95-1,"")</f>
        <v>0.00351223795412148</v>
      </c>
      <c r="F95" s="3" t="str">
        <f aca="false">IF(OR(D95="",E95=""),"n/a (new)",IF(D95&gt;=0,IF(E95&gt;=0,"Long Buildup","Short Covering"),IF(E95&gt;=0,"Short Buildup","Long Unwinding")))</f>
        <v>Short Buildup</v>
      </c>
      <c r="G95" s="6" t="n">
        <f aca="false">IFERROR(V95/X95-1,"")</f>
        <v>-0.0376333886649276</v>
      </c>
      <c r="H95" s="6" t="n">
        <f aca="false">IFERROR(AA95/AC95-1,"")</f>
        <v>0.0292693909715187</v>
      </c>
      <c r="I95" s="3" t="str">
        <f aca="false">IF(OR(G95="",H95=""),"n/a (new)",IF(G95&gt;=0,IF(H95&gt;=0,"Long Buildup","Short Covering"),IF(H95&gt;=0,"Short Buildup","Long Unwinding")))</f>
        <v>Short Buildup</v>
      </c>
      <c r="J95" s="6" t="n">
        <f aca="false">IFERROR(V95/Y95-1,"")</f>
        <v>0.029328711531958</v>
      </c>
      <c r="K95" s="6" t="n">
        <f aca="false">IFERROR(AA95/AD95-1,"")</f>
        <v>0.0599760404992851</v>
      </c>
      <c r="L95" s="3" t="str">
        <f aca="false">IF(OR(J95="",K95=""),"n/a (new)",IF(J95&gt;=0,IF(K95&gt;=0,"Long Buildup","Short Covering"),IF(K95&gt;=0,"Short Buildup","Long Unwinding")))</f>
        <v>Long Buildup</v>
      </c>
      <c r="M95" s="6" t="n">
        <f aca="false">IFERROR(V95/Z95-1,"")</f>
        <v>-0.0661844789765145</v>
      </c>
      <c r="N95" s="6" t="n">
        <f aca="false">IFERROR(AA95/AE95-1,"")</f>
        <v>0.0516448125143778</v>
      </c>
      <c r="O95" s="3" t="str">
        <f aca="false">IF(OR(M95="",N95=""),"n/a (new)",IF(M95&gt;=0,IF(N95&gt;=0,"Long Buildup","Short Covering"),IF(N95&gt;=0,"Short Buildup","Long Unwinding")))</f>
        <v>Short Buildup</v>
      </c>
      <c r="P95" s="7" t="n">
        <f aca="false">IFERROR(AF95/AG95,"")</f>
        <v>0.424837486457205</v>
      </c>
      <c r="Q95" s="7" t="n">
        <f aca="false">IFERROR(AH95/AI95,"")</f>
        <v>0.746835443037975</v>
      </c>
      <c r="V95" s="9" t="n">
        <v>1217.49</v>
      </c>
      <c r="W95" s="9" t="n">
        <v>1235.2</v>
      </c>
      <c r="X95" s="9" t="n">
        <v>1265.1</v>
      </c>
      <c r="Y95" s="9" t="n">
        <v>1182.8</v>
      </c>
      <c r="Z95" s="9" t="n">
        <v>1303.78</v>
      </c>
      <c r="AA95" s="10" t="n">
        <v>15085950</v>
      </c>
      <c r="AB95" s="10" t="n">
        <v>15033150</v>
      </c>
      <c r="AC95" s="10" t="n">
        <v>14656950</v>
      </c>
      <c r="AD95" s="10" t="n">
        <v>14232350</v>
      </c>
      <c r="AE95" s="10" t="n">
        <v>14345100</v>
      </c>
      <c r="AF95" s="10" t="n">
        <v>1725350</v>
      </c>
      <c r="AG95" s="10" t="n">
        <v>4061200</v>
      </c>
      <c r="AH95" s="10" t="n">
        <v>2011900</v>
      </c>
      <c r="AI95" s="10" t="n">
        <v>2693900</v>
      </c>
    </row>
    <row r="96" customFormat="false" ht="15" hidden="false" customHeight="false" outlineLevel="0" collapsed="false">
      <c r="A96" s="3" t="n">
        <v>93</v>
      </c>
      <c r="B96" s="4" t="s">
        <v>130</v>
      </c>
      <c r="C96" s="5" t="n">
        <v>-6.47</v>
      </c>
      <c r="D96" s="6" t="n">
        <f aca="false">IFERROR(V96/W96-1,"")</f>
        <v>-0.010456385592194</v>
      </c>
      <c r="E96" s="6" t="n">
        <f aca="false">IFERROR(AA96/AB96-1,"")</f>
        <v>-0.0552408875857933</v>
      </c>
      <c r="F96" s="3" t="str">
        <f aca="false">IF(OR(D96="",E96=""),"n/a (new)",IF(D96&gt;=0,IF(E96&gt;=0,"Long Buildup","Short Covering"),IF(E96&gt;=0,"Short Buildup","Long Unwinding")))</f>
        <v>Long Unwinding</v>
      </c>
      <c r="G96" s="6" t="n">
        <f aca="false">IFERROR(V96/X96-1,"")</f>
        <v>-0.0415823268408424</v>
      </c>
      <c r="H96" s="6" t="n">
        <f aca="false">IFERROR(AA96/AC96-1,"")</f>
        <v>0.112785495643984</v>
      </c>
      <c r="I96" s="3" t="str">
        <f aca="false">IF(OR(G96="",H96=""),"n/a (new)",IF(G96&gt;=0,IF(H96&gt;=0,"Long Buildup","Short Covering"),IF(H96&gt;=0,"Short Buildup","Long Unwinding")))</f>
        <v>Short Buildup</v>
      </c>
      <c r="J96" s="6" t="n">
        <f aca="false">IFERROR(V96/Y96-1,"")</f>
        <v>0.0134231041814317</v>
      </c>
      <c r="K96" s="6" t="n">
        <f aca="false">IFERROR(AA96/AD96-1,"")</f>
        <v>0.0738468529879572</v>
      </c>
      <c r="L96" s="3" t="str">
        <f aca="false">IF(OR(J96="",K96=""),"n/a (new)",IF(J96&gt;=0,IF(K96&gt;=0,"Long Buildup","Short Covering"),IF(K96&gt;=0,"Short Buildup","Long Unwinding")))</f>
        <v>Long Buildup</v>
      </c>
      <c r="M96" s="6" t="n">
        <f aca="false">IFERROR(V96/Z96-1,"")</f>
        <v>-0.0335631251689645</v>
      </c>
      <c r="N96" s="6" t="n">
        <f aca="false">IFERROR(AA96/AE96-1,"")</f>
        <v>0.018095648427402</v>
      </c>
      <c r="O96" s="3" t="str">
        <f aca="false">IF(OR(M96="",N96=""),"n/a (new)",IF(M96&gt;=0,IF(N96&gt;=0,"Long Buildup","Short Covering"),IF(N96&gt;=0,"Short Buildup","Long Unwinding")))</f>
        <v>Short Buildup</v>
      </c>
      <c r="P96" s="7" t="n">
        <f aca="false">IFERROR(AF96/AG96,"")</f>
        <v>0.951336898395722</v>
      </c>
      <c r="Q96" s="7" t="n">
        <f aca="false">IFERROR(AH96/AI96,"")</f>
        <v>1.04293825408091</v>
      </c>
      <c r="V96" s="9" t="n">
        <v>1429.94</v>
      </c>
      <c r="W96" s="9" t="n">
        <v>1445.05</v>
      </c>
      <c r="X96" s="9" t="n">
        <v>1491.98</v>
      </c>
      <c r="Y96" s="9" t="n">
        <v>1411</v>
      </c>
      <c r="Z96" s="9" t="n">
        <v>1479.6</v>
      </c>
      <c r="AA96" s="10" t="n">
        <v>6380100</v>
      </c>
      <c r="AB96" s="10" t="n">
        <v>6753150</v>
      </c>
      <c r="AC96" s="10" t="n">
        <v>5733450</v>
      </c>
      <c r="AD96" s="10" t="n">
        <v>5941350</v>
      </c>
      <c r="AE96" s="10" t="n">
        <v>6266700</v>
      </c>
      <c r="AF96" s="10" t="n">
        <v>1601100</v>
      </c>
      <c r="AG96" s="10" t="n">
        <v>1683000</v>
      </c>
      <c r="AH96" s="10" t="n">
        <v>1322550</v>
      </c>
      <c r="AI96" s="10" t="n">
        <v>1268100</v>
      </c>
    </row>
    <row r="97" customFormat="false" ht="15" hidden="false" customHeight="false" outlineLevel="0" collapsed="false">
      <c r="A97" s="3" t="n">
        <v>94</v>
      </c>
      <c r="B97" s="4" t="s">
        <v>131</v>
      </c>
      <c r="C97" s="5" t="n">
        <v>-6.52</v>
      </c>
      <c r="D97" s="6" t="n">
        <f aca="false">IFERROR(V97/W97-1,"")</f>
        <v>-0.000347926935343579</v>
      </c>
      <c r="E97" s="6" t="n">
        <f aca="false">IFERROR(AA97/AB97-1,"")</f>
        <v>0.00203005795488043</v>
      </c>
      <c r="F97" s="3" t="str">
        <f aca="false">IF(OR(D97="",E97=""),"n/a (new)",IF(D97&gt;=0,IF(E97&gt;=0,"Long Buildup","Short Covering"),IF(E97&gt;=0,"Short Buildup","Long Unwinding")))</f>
        <v>Short Buildup</v>
      </c>
      <c r="G97" s="6" t="n">
        <f aca="false">IFERROR(V97/X97-1,"")</f>
        <v>-0.0177207977207978</v>
      </c>
      <c r="H97" s="6" t="n">
        <f aca="false">IFERROR(AA97/AC97-1,"")</f>
        <v>0.0176491616024741</v>
      </c>
      <c r="I97" s="3" t="str">
        <f aca="false">IF(OR(G97="",H97=""),"n/a (new)",IF(G97&gt;=0,IF(H97&gt;=0,"Long Buildup","Short Covering"),IF(H97&gt;=0,"Short Buildup","Long Unwinding")))</f>
        <v>Short Buildup</v>
      </c>
      <c r="J97" s="6" t="n">
        <f aca="false">IFERROR(V97/Y97-1,"")</f>
        <v>0.00290883704694855</v>
      </c>
      <c r="K97" s="6" t="n">
        <f aca="false">IFERROR(AA97/AD97-1,"")</f>
        <v>0.0449792134399836</v>
      </c>
      <c r="L97" s="3" t="str">
        <f aca="false">IF(OR(J97="",K97=""),"n/a (new)",IF(J97&gt;=0,IF(K97&gt;=0,"Long Buildup","Short Covering"),IF(K97&gt;=0,"Short Buildup","Long Unwinding")))</f>
        <v>Long Buildup</v>
      </c>
      <c r="M97" s="6" t="n">
        <f aca="false">IFERROR(V97/Z97-1,"")</f>
        <v>-0.0680110288154837</v>
      </c>
      <c r="N97" s="6" t="n">
        <f aca="false">IFERROR(AA97/AE97-1,"")</f>
        <v>0.0862624344446319</v>
      </c>
      <c r="O97" s="3" t="str">
        <f aca="false">IF(OR(M97="",N97=""),"n/a (new)",IF(M97&gt;=0,IF(N97&gt;=0,"Long Buildup","Short Covering"),IF(N97&gt;=0,"Short Buildup","Long Unwinding")))</f>
        <v>Short Buildup</v>
      </c>
      <c r="P97" s="7" t="n">
        <f aca="false">IFERROR(AF97/AG97,"")</f>
        <v>0.623461755006837</v>
      </c>
      <c r="Q97" s="7" t="n">
        <f aca="false">IFERROR(AH97/AI97,"")</f>
        <v>0.59147628741612</v>
      </c>
      <c r="V97" s="9" t="n">
        <v>172.39</v>
      </c>
      <c r="W97" s="9" t="n">
        <v>172.45</v>
      </c>
      <c r="X97" s="9" t="n">
        <v>175.5</v>
      </c>
      <c r="Y97" s="9" t="n">
        <v>171.89</v>
      </c>
      <c r="Z97" s="9" t="n">
        <v>184.97</v>
      </c>
      <c r="AA97" s="10" t="n">
        <v>336633000</v>
      </c>
      <c r="AB97" s="10" t="n">
        <v>335951000</v>
      </c>
      <c r="AC97" s="10" t="n">
        <v>330794750</v>
      </c>
      <c r="AD97" s="10" t="n">
        <v>322143250</v>
      </c>
      <c r="AE97" s="10" t="n">
        <v>309900250</v>
      </c>
      <c r="AF97" s="10" t="n">
        <v>85266500</v>
      </c>
      <c r="AG97" s="10" t="n">
        <v>136763000</v>
      </c>
      <c r="AH97" s="10" t="n">
        <v>86292250</v>
      </c>
      <c r="AI97" s="10" t="n">
        <v>145893000</v>
      </c>
    </row>
    <row r="98" customFormat="false" ht="15" hidden="false" customHeight="false" outlineLevel="0" collapsed="false">
      <c r="A98" s="3" t="n">
        <v>95</v>
      </c>
      <c r="B98" s="4" t="s">
        <v>132</v>
      </c>
      <c r="C98" s="5" t="n">
        <v>-6.58</v>
      </c>
      <c r="D98" s="6" t="n">
        <f aca="false">IFERROR(V98/W98-1,"")</f>
        <v>-0.00459805115712542</v>
      </c>
      <c r="E98" s="6" t="n">
        <f aca="false">IFERROR(AA98/AB98-1,"")</f>
        <v>0.0013315723379379</v>
      </c>
      <c r="F98" s="3" t="str">
        <f aca="false">IF(OR(D98="",E98=""),"n/a (new)",IF(D98&gt;=0,IF(E98&gt;=0,"Long Buildup","Short Covering"),IF(E98&gt;=0,"Short Buildup","Long Unwinding")))</f>
        <v>Short Buildup</v>
      </c>
      <c r="G98" s="6" t="n">
        <f aca="false">IFERROR(V98/X98-1,"")</f>
        <v>-0.0190847711927983</v>
      </c>
      <c r="H98" s="6" t="n">
        <f aca="false">IFERROR(AA98/AC98-1,"")</f>
        <v>0.047259428674947</v>
      </c>
      <c r="I98" s="3" t="str">
        <f aca="false">IF(OR(G98="",H98=""),"n/a (new)",IF(G98&gt;=0,IF(H98&gt;=0,"Long Buildup","Short Covering"),IF(H98&gt;=0,"Short Buildup","Long Unwinding")))</f>
        <v>Short Buildup</v>
      </c>
      <c r="J98" s="6" t="n">
        <f aca="false">IFERROR(V98/Y98-1,"")</f>
        <v>0.00985480383070736</v>
      </c>
      <c r="K98" s="6" t="n">
        <f aca="false">IFERROR(AA98/AD98-1,"")</f>
        <v>0.137825835578354</v>
      </c>
      <c r="L98" s="3" t="str">
        <f aca="false">IF(OR(J98="",K98=""),"n/a (new)",IF(J98&gt;=0,IF(K98&gt;=0,"Long Buildup","Short Covering"),IF(K98&gt;=0,"Short Buildup","Long Unwinding")))</f>
        <v>Long Buildup</v>
      </c>
      <c r="M98" s="6" t="n">
        <f aca="false">IFERROR(V98/Z98-1,"")</f>
        <v>-0.0547121251554322</v>
      </c>
      <c r="N98" s="6" t="n">
        <f aca="false">IFERROR(AA98/AE98-1,"")</f>
        <v>0.17236615291016</v>
      </c>
      <c r="O98" s="3" t="str">
        <f aca="false">IF(OR(M98="",N98=""),"n/a (new)",IF(M98&gt;=0,IF(N98&gt;=0,"Long Buildup","Short Covering"),IF(N98&gt;=0,"Short Buildup","Long Unwinding")))</f>
        <v>Short Buildup</v>
      </c>
      <c r="P98" s="7" t="n">
        <f aca="false">IFERROR(AF98/AG98,"")</f>
        <v>0.806549885757807</v>
      </c>
      <c r="Q98" s="7" t="n">
        <f aca="false">IFERROR(AH98/AI98,"")</f>
        <v>0.788537656563466</v>
      </c>
      <c r="V98" s="9" t="n">
        <v>326.89</v>
      </c>
      <c r="W98" s="9" t="n">
        <v>328.4</v>
      </c>
      <c r="X98" s="9" t="n">
        <v>333.25</v>
      </c>
      <c r="Y98" s="9" t="n">
        <v>323.7</v>
      </c>
      <c r="Z98" s="9" t="n">
        <v>345.81</v>
      </c>
      <c r="AA98" s="10" t="n">
        <v>120243500</v>
      </c>
      <c r="AB98" s="10" t="n">
        <v>120083600</v>
      </c>
      <c r="AC98" s="10" t="n">
        <v>114817300</v>
      </c>
      <c r="AD98" s="10" t="n">
        <v>105678300</v>
      </c>
      <c r="AE98" s="10" t="n">
        <v>102564800</v>
      </c>
      <c r="AF98" s="10" t="n">
        <v>19273800</v>
      </c>
      <c r="AG98" s="10" t="n">
        <v>23896600</v>
      </c>
      <c r="AH98" s="10" t="n">
        <v>18905900</v>
      </c>
      <c r="AI98" s="10" t="n">
        <v>23975900</v>
      </c>
    </row>
    <row r="99" customFormat="false" ht="15" hidden="false" customHeight="false" outlineLevel="0" collapsed="false">
      <c r="A99" s="3" t="n">
        <v>96</v>
      </c>
      <c r="B99" s="4" t="s">
        <v>133</v>
      </c>
      <c r="C99" s="5" t="n">
        <v>-6.64</v>
      </c>
      <c r="D99" s="6" t="n">
        <f aca="false">IFERROR(V99/W99-1,"")</f>
        <v>-0.00574229691876749</v>
      </c>
      <c r="E99" s="6" t="n">
        <f aca="false">IFERROR(AA99/AB99-1,"")</f>
        <v>-0.00939483707151922</v>
      </c>
      <c r="F99" s="3" t="str">
        <f aca="false">IF(OR(D99="",E99=""),"n/a (new)",IF(D99&gt;=0,IF(E99&gt;=0,"Long Buildup","Short Covering"),IF(E99&gt;=0,"Short Buildup","Long Unwinding")))</f>
        <v>Long Unwinding</v>
      </c>
      <c r="G99" s="6" t="n">
        <f aca="false">IFERROR(V99/X99-1,"")</f>
        <v>-0.0336500503661757</v>
      </c>
      <c r="H99" s="6" t="n">
        <f aca="false">IFERROR(AA99/AC99-1,"")</f>
        <v>-0.0297068007848123</v>
      </c>
      <c r="I99" s="3" t="str">
        <f aca="false">IF(OR(G99="",H99=""),"n/a (new)",IF(G99&gt;=0,IF(H99&gt;=0,"Long Buildup","Short Covering"),IF(H99&gt;=0,"Short Buildup","Long Unwinding")))</f>
        <v>Long Unwinding</v>
      </c>
      <c r="J99" s="6" t="n">
        <f aca="false">IFERROR(V99/Y99-1,"")</f>
        <v>-0.0002253330704447</v>
      </c>
      <c r="K99" s="6" t="n">
        <f aca="false">IFERROR(AA99/AD99-1,"")</f>
        <v>-0.0577753924594123</v>
      </c>
      <c r="L99" s="3" t="str">
        <f aca="false">IF(OR(J99="",K99=""),"n/a (new)",IF(J99&gt;=0,IF(K99&gt;=0,"Long Buildup","Short Covering"),IF(K99&gt;=0,"Short Buildup","Long Unwinding")))</f>
        <v>Long Unwinding</v>
      </c>
      <c r="M99" s="6" t="n">
        <f aca="false">IFERROR(V99/Z99-1,"")</f>
        <v>-0.121497871497872</v>
      </c>
      <c r="N99" s="6" t="n">
        <f aca="false">IFERROR(AA99/AE99-1,"")</f>
        <v>-0.0716759643603099</v>
      </c>
      <c r="O99" s="3" t="str">
        <f aca="false">IF(OR(M99="",N99=""),"n/a (new)",IF(M99&gt;=0,IF(N99&gt;=0,"Long Buildup","Short Covering"),IF(N99&gt;=0,"Short Buildup","Long Unwinding")))</f>
        <v>Long Unwinding</v>
      </c>
      <c r="P99" s="7" t="n">
        <f aca="false">IFERROR(AF99/AG99,"")</f>
        <v>0.444312796208531</v>
      </c>
      <c r="Q99" s="7" t="n">
        <f aca="false">IFERROR(AH99/AI99,"")</f>
        <v>0.366446601941748</v>
      </c>
      <c r="V99" s="9" t="n">
        <v>354.95</v>
      </c>
      <c r="W99" s="9" t="n">
        <v>357</v>
      </c>
      <c r="X99" s="9" t="n">
        <v>367.31</v>
      </c>
      <c r="Y99" s="9" t="n">
        <v>355.03</v>
      </c>
      <c r="Z99" s="9" t="n">
        <v>404.04</v>
      </c>
      <c r="AA99" s="10" t="n">
        <v>37745400</v>
      </c>
      <c r="AB99" s="10" t="n">
        <v>38103375</v>
      </c>
      <c r="AC99" s="10" t="n">
        <v>38901025</v>
      </c>
      <c r="AD99" s="10" t="n">
        <v>40059875</v>
      </c>
      <c r="AE99" s="10" t="n">
        <v>40659725</v>
      </c>
      <c r="AF99" s="10" t="n">
        <v>5643750</v>
      </c>
      <c r="AG99" s="10" t="n">
        <v>12702200</v>
      </c>
      <c r="AH99" s="10" t="n">
        <v>5071850</v>
      </c>
      <c r="AI99" s="10" t="n">
        <v>13840625</v>
      </c>
    </row>
    <row r="100" customFormat="false" ht="15" hidden="false" customHeight="false" outlineLevel="0" collapsed="false">
      <c r="A100" s="3" t="n">
        <v>97</v>
      </c>
      <c r="B100" s="4" t="s">
        <v>134</v>
      </c>
      <c r="C100" s="5" t="n">
        <v>-6.66</v>
      </c>
      <c r="D100" s="6" t="n">
        <f aca="false">IFERROR(V100/W100-1,"")</f>
        <v>-0.0098966374279128</v>
      </c>
      <c r="E100" s="6" t="n">
        <f aca="false">IFERROR(AA100/AB100-1,"")</f>
        <v>0.00368574199806004</v>
      </c>
      <c r="F100" s="3" t="str">
        <f aca="false">IF(OR(D100="",E100=""),"n/a (new)",IF(D100&gt;=0,IF(E100&gt;=0,"Long Buildup","Short Covering"),IF(E100&gt;=0,"Short Buildup","Long Unwinding")))</f>
        <v>Short Buildup</v>
      </c>
      <c r="G100" s="6" t="n">
        <f aca="false">IFERROR(V100/X100-1,"")</f>
        <v>-0.0207573008319354</v>
      </c>
      <c r="H100" s="6" t="n">
        <f aca="false">IFERROR(AA100/AC100-1,"")</f>
        <v>0.0397492062216149</v>
      </c>
      <c r="I100" s="3" t="str">
        <f aca="false">IF(OR(G100="",H100=""),"n/a (new)",IF(G100&gt;=0,IF(H100&gt;=0,"Long Buildup","Short Covering"),IF(H100&gt;=0,"Short Buildup","Long Unwinding")))</f>
        <v>Short Buildup</v>
      </c>
      <c r="J100" s="6" t="n">
        <f aca="false">IFERROR(V100/Y100-1,"")</f>
        <v>0.0375288830205927</v>
      </c>
      <c r="K100" s="6" t="n">
        <f aca="false">IFERROR(AA100/AD100-1,"")</f>
        <v>0.0911621629221382</v>
      </c>
      <c r="L100" s="3" t="str">
        <f aca="false">IF(OR(J100="",K100=""),"n/a (new)",IF(J100&gt;=0,IF(K100&gt;=0,"Long Buildup","Short Covering"),IF(K100&gt;=0,"Short Buildup","Long Unwinding")))</f>
        <v>Long Buildup</v>
      </c>
      <c r="M100" s="6" t="n">
        <f aca="false">IFERROR(V100/Z100-1,"")</f>
        <v>-0.0605185710719588</v>
      </c>
      <c r="N100" s="6" t="n">
        <f aca="false">IFERROR(AA100/AE100-1,"")</f>
        <v>0.177264729081973</v>
      </c>
      <c r="O100" s="3" t="str">
        <f aca="false">IF(OR(M100="",N100=""),"n/a (new)",IF(M100&gt;=0,IF(N100&gt;=0,"Long Buildup","Short Covering"),IF(N100&gt;=0,"Short Buildup","Long Unwinding")))</f>
        <v>Short Buildup</v>
      </c>
      <c r="P100" s="7" t="n">
        <f aca="false">IFERROR(AF100/AG100,"")</f>
        <v>0.604877119451324</v>
      </c>
      <c r="Q100" s="7" t="n">
        <f aca="false">IFERROR(AH100/AI100,"")</f>
        <v>0.562830857788971</v>
      </c>
      <c r="V100" s="9" t="n">
        <v>2860.27</v>
      </c>
      <c r="W100" s="9" t="n">
        <v>2888.86</v>
      </c>
      <c r="X100" s="9" t="n">
        <v>2920.9</v>
      </c>
      <c r="Y100" s="9" t="n">
        <v>2756.81</v>
      </c>
      <c r="Z100" s="9" t="n">
        <v>3044.52</v>
      </c>
      <c r="AA100" s="10" t="n">
        <v>15522000</v>
      </c>
      <c r="AB100" s="10" t="n">
        <v>15465000</v>
      </c>
      <c r="AC100" s="10" t="n">
        <v>14928600</v>
      </c>
      <c r="AD100" s="10" t="n">
        <v>14225200</v>
      </c>
      <c r="AE100" s="10" t="n">
        <v>13184800</v>
      </c>
      <c r="AF100" s="10" t="n">
        <v>5080000</v>
      </c>
      <c r="AG100" s="10" t="n">
        <v>8398400</v>
      </c>
      <c r="AH100" s="10" t="n">
        <v>4380400</v>
      </c>
      <c r="AI100" s="10" t="n">
        <v>7782800</v>
      </c>
    </row>
    <row r="101" customFormat="false" ht="15" hidden="false" customHeight="false" outlineLevel="0" collapsed="false">
      <c r="A101" s="3" t="n">
        <v>98</v>
      </c>
      <c r="B101" s="4" t="s">
        <v>135</v>
      </c>
      <c r="C101" s="5" t="n">
        <v>-6.71</v>
      </c>
      <c r="D101" s="6" t="n">
        <f aca="false">IFERROR(V101/W101-1,"")</f>
        <v>-0.00747997609156292</v>
      </c>
      <c r="E101" s="6" t="n">
        <f aca="false">IFERROR(AA101/AB101-1,"")</f>
        <v>-0.0770331017572538</v>
      </c>
      <c r="F101" s="3" t="str">
        <f aca="false">IF(OR(D101="",E101=""),"n/a (new)",IF(D101&gt;=0,IF(E101&gt;=0,"Long Buildup","Short Covering"),IF(E101&gt;=0,"Short Buildup","Long Unwinding")))</f>
        <v>Long Unwinding</v>
      </c>
      <c r="G101" s="6" t="n">
        <f aca="false">IFERROR(V101/X101-1,"")</f>
        <v>-0.0533353447725464</v>
      </c>
      <c r="H101" s="6" t="n">
        <f aca="false">IFERROR(AA101/AC101-1,"")</f>
        <v>-0.0303398926654741</v>
      </c>
      <c r="I101" s="3" t="str">
        <f aca="false">IF(OR(G101="",H101=""),"n/a (new)",IF(G101&gt;=0,IF(H101&gt;=0,"Long Buildup","Short Covering"),IF(H101&gt;=0,"Short Buildup","Long Unwinding")))</f>
        <v>Long Unwinding</v>
      </c>
      <c r="J101" s="6" t="n">
        <f aca="false">IFERROR(V101/Y101-1,"")</f>
        <v>0.00327482872867302</v>
      </c>
      <c r="K101" s="6" t="n">
        <f aca="false">IFERROR(AA101/AD101-1,"")</f>
        <v>-0.0441560273682725</v>
      </c>
      <c r="L101" s="3" t="str">
        <f aca="false">IF(OR(J101="",K101=""),"n/a (new)",IF(J101&gt;=0,IF(K101&gt;=0,"Long Buildup","Short Covering"),IF(K101&gt;=0,"Short Buildup","Long Unwinding")))</f>
        <v>Short Covering</v>
      </c>
      <c r="M101" s="6" t="n">
        <f aca="false">IFERROR(V101/Z101-1,"")</f>
        <v>-0.0301280385198033</v>
      </c>
      <c r="N101" s="6" t="n">
        <f aca="false">IFERROR(AA101/AE101-1,"")</f>
        <v>0.210234884344021</v>
      </c>
      <c r="O101" s="3" t="str">
        <f aca="false">IF(OR(M101="",N101=""),"n/a (new)",IF(M101&gt;=0,IF(N101&gt;=0,"Long Buildup","Short Covering"),IF(N101&gt;=0,"Short Buildup","Long Unwinding")))</f>
        <v>Short Buildup</v>
      </c>
      <c r="P101" s="7" t="n">
        <f aca="false">IFERROR(AF101/AG101,"")</f>
        <v>0.834242660431281</v>
      </c>
      <c r="Q101" s="7" t="n">
        <f aca="false">IFERROR(AH101/AI101,"")</f>
        <v>1.19786453119786</v>
      </c>
      <c r="V101" s="9" t="n">
        <v>16754.8</v>
      </c>
      <c r="W101" s="9" t="n">
        <v>16881.07</v>
      </c>
      <c r="X101" s="9" t="n">
        <v>17698.77</v>
      </c>
      <c r="Y101" s="9" t="n">
        <v>16700.11</v>
      </c>
      <c r="Z101" s="9" t="n">
        <v>17275.27</v>
      </c>
      <c r="AA101" s="10" t="n">
        <v>338775</v>
      </c>
      <c r="AB101" s="10" t="n">
        <v>367050</v>
      </c>
      <c r="AC101" s="10" t="n">
        <v>349375</v>
      </c>
      <c r="AD101" s="10" t="n">
        <v>354425</v>
      </c>
      <c r="AE101" s="10" t="n">
        <v>279925</v>
      </c>
      <c r="AF101" s="10" t="n">
        <v>80275</v>
      </c>
      <c r="AG101" s="10" t="n">
        <v>96225</v>
      </c>
      <c r="AH101" s="10" t="n">
        <v>89750</v>
      </c>
      <c r="AI101" s="10" t="n">
        <v>74925</v>
      </c>
    </row>
    <row r="102" customFormat="false" ht="15" hidden="false" customHeight="false" outlineLevel="0" collapsed="false">
      <c r="A102" s="3" t="n">
        <v>99</v>
      </c>
      <c r="B102" s="4" t="s">
        <v>136</v>
      </c>
      <c r="C102" s="5" t="n">
        <v>-6.84</v>
      </c>
      <c r="D102" s="6" t="n">
        <f aca="false">IFERROR(V102/W102-1,"")</f>
        <v>-0.0209950894098025</v>
      </c>
      <c r="E102" s="6" t="n">
        <f aca="false">IFERROR(AA102/AB102-1,"")</f>
        <v>-0.0140903763510873</v>
      </c>
      <c r="F102" s="3" t="str">
        <f aca="false">IF(OR(D102="",E102=""),"n/a (new)",IF(D102&gt;=0,IF(E102&gt;=0,"Long Buildup","Short Covering"),IF(E102&gt;=0,"Short Buildup","Long Unwinding")))</f>
        <v>Long Unwinding</v>
      </c>
      <c r="G102" s="6" t="n">
        <f aca="false">IFERROR(V102/X102-1,"")</f>
        <v>-0.0446465705864269</v>
      </c>
      <c r="H102" s="6" t="n">
        <f aca="false">IFERROR(AA102/AC102-1,"")</f>
        <v>-0.0253861997940268</v>
      </c>
      <c r="I102" s="3" t="str">
        <f aca="false">IF(OR(G102="",H102=""),"n/a (new)",IF(G102&gt;=0,IF(H102&gt;=0,"Long Buildup","Short Covering"),IF(H102&gt;=0,"Short Buildup","Long Unwinding")))</f>
        <v>Long Unwinding</v>
      </c>
      <c r="J102" s="6" t="n">
        <f aca="false">IFERROR(V102/Y102-1,"")</f>
        <v>-0.0297153351698806</v>
      </c>
      <c r="K102" s="6" t="n">
        <f aca="false">IFERROR(AA102/AD102-1,"")</f>
        <v>-0.0464026602176542</v>
      </c>
      <c r="L102" s="3" t="str">
        <f aca="false">IF(OR(J102="",K102=""),"n/a (new)",IF(J102&gt;=0,IF(K102&gt;=0,"Long Buildup","Short Covering"),IF(K102&gt;=0,"Short Buildup","Long Unwinding")))</f>
        <v>Long Unwinding</v>
      </c>
      <c r="M102" s="6" t="n">
        <f aca="false">IFERROR(V102/Z102-1,"")</f>
        <v>-0.0552217453505007</v>
      </c>
      <c r="N102" s="6" t="n">
        <f aca="false">IFERROR(AA102/AE102-1,"")</f>
        <v>-0.151655050312633</v>
      </c>
      <c r="O102" s="3" t="str">
        <f aca="false">IF(OR(M102="",N102=""),"n/a (new)",IF(M102&gt;=0,IF(N102&gt;=0,"Long Buildup","Short Covering"),IF(N102&gt;=0,"Short Buildup","Long Unwinding")))</f>
        <v>Long Unwinding</v>
      </c>
      <c r="P102" s="7" t="n">
        <f aca="false">IFERROR(AF102/AG102,"")</f>
        <v>0.684192498715533</v>
      </c>
      <c r="Q102" s="7" t="n">
        <f aca="false">IFERROR(AH102/AI102,"")</f>
        <v>0.793363177716194</v>
      </c>
      <c r="V102" s="9" t="n">
        <v>528.32</v>
      </c>
      <c r="W102" s="9" t="n">
        <v>539.65</v>
      </c>
      <c r="X102" s="9" t="n">
        <v>553.01</v>
      </c>
      <c r="Y102" s="9" t="n">
        <v>544.5</v>
      </c>
      <c r="Z102" s="9" t="n">
        <v>559.2</v>
      </c>
      <c r="AA102" s="10" t="n">
        <v>41639400</v>
      </c>
      <c r="AB102" s="10" t="n">
        <v>42234500</v>
      </c>
      <c r="AC102" s="10" t="n">
        <v>42724000</v>
      </c>
      <c r="AD102" s="10" t="n">
        <v>43665600</v>
      </c>
      <c r="AE102" s="10" t="n">
        <v>49083100</v>
      </c>
      <c r="AF102" s="10" t="n">
        <v>13183500</v>
      </c>
      <c r="AG102" s="10" t="n">
        <v>19268700</v>
      </c>
      <c r="AH102" s="10" t="n">
        <v>12281500</v>
      </c>
      <c r="AI102" s="10" t="n">
        <v>15480300</v>
      </c>
    </row>
    <row r="103" customFormat="false" ht="15" hidden="false" customHeight="false" outlineLevel="0" collapsed="false">
      <c r="A103" s="3" t="n">
        <v>100</v>
      </c>
      <c r="B103" s="4" t="s">
        <v>137</v>
      </c>
      <c r="C103" s="5" t="n">
        <v>-6.97</v>
      </c>
      <c r="D103" s="6" t="n">
        <f aca="false">IFERROR(V103/W103-1,"")</f>
        <v>-0.00679405520169851</v>
      </c>
      <c r="E103" s="6" t="n">
        <f aca="false">IFERROR(AA103/AB103-1,"")</f>
        <v>-0.101646766389986</v>
      </c>
      <c r="F103" s="3" t="str">
        <f aca="false">IF(OR(D103="",E103=""),"n/a (new)",IF(D103&gt;=0,IF(E103&gt;=0,"Long Buildup","Short Covering"),IF(E103&gt;=0,"Short Buildup","Long Unwinding")))</f>
        <v>Long Unwinding</v>
      </c>
      <c r="G103" s="6" t="n">
        <f aca="false">IFERROR(V103/X103-1,"")</f>
        <v>-0.0618670410107289</v>
      </c>
      <c r="H103" s="6" t="n">
        <f aca="false">IFERROR(AA103/AC103-1,"")</f>
        <v>-0.0164739041695015</v>
      </c>
      <c r="I103" s="3" t="str">
        <f aca="false">IF(OR(G103="",H103=""),"n/a (new)",IF(G103&gt;=0,IF(H103&gt;=0,"Long Buildup","Short Covering"),IF(H103&gt;=0,"Short Buildup","Long Unwinding")))</f>
        <v>Long Unwinding</v>
      </c>
      <c r="J103" s="6" t="n">
        <f aca="false">IFERROR(V103/Y103-1,"")</f>
        <v>-0.00037395159997855</v>
      </c>
      <c r="K103" s="6" t="n">
        <f aca="false">IFERROR(AA103/AD103-1,"")</f>
        <v>-0.00476986624704956</v>
      </c>
      <c r="L103" s="3" t="str">
        <f aca="false">IF(OR(J103="",K103=""),"n/a (new)",IF(J103&gt;=0,IF(K103&gt;=0,"Long Buildup","Short Covering"),IF(K103&gt;=0,"Short Buildup","Long Unwinding")))</f>
        <v>Long Unwinding</v>
      </c>
      <c r="M103" s="6" t="n">
        <f aca="false">IFERROR(V103/Z103-1,"")</f>
        <v>-0.113469465106363</v>
      </c>
      <c r="N103" s="6" t="n">
        <f aca="false">IFERROR(AA103/AE103-1,"")</f>
        <v>-0.0928283281039892</v>
      </c>
      <c r="O103" s="3" t="str">
        <f aca="false">IF(OR(M103="",N103=""),"n/a (new)",IF(M103&gt;=0,IF(N103&gt;=0,"Long Buildup","Short Covering"),IF(N103&gt;=0,"Short Buildup","Long Unwinding")))</f>
        <v>Long Unwinding</v>
      </c>
      <c r="P103" s="7" t="n">
        <f aca="false">IFERROR(AF103/AG103,"")</f>
        <v>0.816072597997942</v>
      </c>
      <c r="Q103" s="7" t="n">
        <f aca="false">IFERROR(AH103/AI103,"")</f>
        <v>0.893178635727145</v>
      </c>
      <c r="V103" s="9" t="n">
        <v>187.12</v>
      </c>
      <c r="W103" s="9" t="n">
        <v>188.4</v>
      </c>
      <c r="X103" s="9" t="n">
        <v>199.46</v>
      </c>
      <c r="Y103" s="9" t="n">
        <v>187.19</v>
      </c>
      <c r="Z103" s="9" t="n">
        <v>211.07</v>
      </c>
      <c r="AA103" s="10" t="n">
        <v>38960075</v>
      </c>
      <c r="AB103" s="10" t="n">
        <v>43368325</v>
      </c>
      <c r="AC103" s="10" t="n">
        <v>39612650</v>
      </c>
      <c r="AD103" s="10" t="n">
        <v>39146800</v>
      </c>
      <c r="AE103" s="10" t="n">
        <v>42946750</v>
      </c>
      <c r="AF103" s="10" t="n">
        <v>16791775</v>
      </c>
      <c r="AG103" s="10" t="n">
        <v>20576325</v>
      </c>
      <c r="AH103" s="10" t="n">
        <v>17190250</v>
      </c>
      <c r="AI103" s="10" t="n">
        <v>19246150</v>
      </c>
    </row>
    <row r="104" customFormat="false" ht="15" hidden="false" customHeight="false" outlineLevel="0" collapsed="false">
      <c r="A104" s="3" t="n">
        <v>101</v>
      </c>
      <c r="B104" s="4" t="s">
        <v>138</v>
      </c>
      <c r="C104" s="5" t="n">
        <v>-7.06</v>
      </c>
      <c r="D104" s="6" t="n">
        <f aca="false">IFERROR(V104/W104-1,"")</f>
        <v>-0.0015992689056431</v>
      </c>
      <c r="E104" s="6" t="n">
        <f aca="false">IFERROR(AA104/AB104-1,"")</f>
        <v>-0.00435936315390451</v>
      </c>
      <c r="F104" s="3" t="str">
        <f aca="false">IF(OR(D104="",E104=""),"n/a (new)",IF(D104&gt;=0,IF(E104&gt;=0,"Long Buildup","Short Covering"),IF(E104&gt;=0,"Short Buildup","Long Unwinding")))</f>
        <v>Long Unwinding</v>
      </c>
      <c r="G104" s="6" t="n">
        <f aca="false">IFERROR(V104/X104-1,"")</f>
        <v>-0.0234636871508379</v>
      </c>
      <c r="H104" s="6" t="n">
        <f aca="false">IFERROR(AA104/AC104-1,"")</f>
        <v>-0.0161539542070516</v>
      </c>
      <c r="I104" s="3" t="str">
        <f aca="false">IF(OR(G104="",H104=""),"n/a (new)",IF(G104&gt;=0,IF(H104&gt;=0,"Long Buildup","Short Covering"),IF(H104&gt;=0,"Short Buildup","Long Unwinding")))</f>
        <v>Long Unwinding</v>
      </c>
      <c r="J104" s="6" t="n">
        <f aca="false">IFERROR(V104/Y104-1,"")</f>
        <v>-0.00421556340435214</v>
      </c>
      <c r="K104" s="6" t="n">
        <f aca="false">IFERROR(AA104/AD104-1,"")</f>
        <v>0.011748844375963</v>
      </c>
      <c r="L104" s="3" t="str">
        <f aca="false">IF(OR(J104="",K104=""),"n/a (new)",IF(J104&gt;=0,IF(K104&gt;=0,"Long Buildup","Short Covering"),IF(K104&gt;=0,"Short Buildup","Long Unwinding")))</f>
        <v>Short Buildup</v>
      </c>
      <c r="M104" s="6" t="n">
        <f aca="false">IFERROR(V104/Z104-1,"")</f>
        <v>-0.111246695139313</v>
      </c>
      <c r="N104" s="6" t="n">
        <f aca="false">IFERROR(AA104/AE104-1,"")</f>
        <v>-0.0500904159132007</v>
      </c>
      <c r="O104" s="3" t="str">
        <f aca="false">IF(OR(M104="",N104=""),"n/a (new)",IF(M104&gt;=0,IF(N104&gt;=0,"Long Buildup","Short Covering"),IF(N104&gt;=0,"Short Buildup","Long Unwinding")))</f>
        <v>Long Unwinding</v>
      </c>
      <c r="P104" s="7" t="n">
        <f aca="false">IFERROR(AF104/AG104,"")</f>
        <v>0.855407047387606</v>
      </c>
      <c r="Q104" s="7" t="n">
        <f aca="false">IFERROR(AH104/AI104,"")</f>
        <v>0.829599618684461</v>
      </c>
      <c r="V104" s="9" t="n">
        <v>87.4</v>
      </c>
      <c r="W104" s="9" t="n">
        <v>87.54</v>
      </c>
      <c r="X104" s="9" t="n">
        <v>89.5</v>
      </c>
      <c r="Y104" s="9" t="n">
        <v>87.77</v>
      </c>
      <c r="Z104" s="9" t="n">
        <v>98.34</v>
      </c>
      <c r="AA104" s="10" t="n">
        <v>146558700</v>
      </c>
      <c r="AB104" s="10" t="n">
        <v>147200400</v>
      </c>
      <c r="AC104" s="10" t="n">
        <v>148965075</v>
      </c>
      <c r="AD104" s="10" t="n">
        <v>144856800</v>
      </c>
      <c r="AE104" s="10" t="n">
        <v>154287000</v>
      </c>
      <c r="AF104" s="10" t="n">
        <v>54014400</v>
      </c>
      <c r="AG104" s="10" t="n">
        <v>63144675</v>
      </c>
      <c r="AH104" s="10" t="n">
        <v>48559950</v>
      </c>
      <c r="AI104" s="10" t="n">
        <v>58534200</v>
      </c>
    </row>
    <row r="105" customFormat="false" ht="15" hidden="false" customHeight="false" outlineLevel="0" collapsed="false">
      <c r="A105" s="3" t="n">
        <v>102</v>
      </c>
      <c r="B105" s="4" t="s">
        <v>139</v>
      </c>
      <c r="C105" s="5" t="n">
        <v>-7.13</v>
      </c>
      <c r="D105" s="6" t="n">
        <f aca="false">IFERROR(V105/W105-1,"")</f>
        <v>-0.0150101588091388</v>
      </c>
      <c r="E105" s="6" t="n">
        <f aca="false">IFERROR(AA105/AB105-1,"")</f>
        <v>-0.142415953410394</v>
      </c>
      <c r="F105" s="3" t="str">
        <f aca="false">IF(OR(D105="",E105=""),"n/a (new)",IF(D105&gt;=0,IF(E105&gt;=0,"Long Buildup","Short Covering"),IF(E105&gt;=0,"Short Buildup","Long Unwinding")))</f>
        <v>Long Unwinding</v>
      </c>
      <c r="G105" s="6" t="n">
        <f aca="false">IFERROR(V105/X105-1,"")</f>
        <v>-0.0303553934908023</v>
      </c>
      <c r="H105" s="6" t="n">
        <f aca="false">IFERROR(AA105/AC105-1,"")</f>
        <v>0.00180384476627316</v>
      </c>
      <c r="I105" s="3" t="str">
        <f aca="false">IF(OR(G105="",H105=""),"n/a (new)",IF(G105&gt;=0,IF(H105&gt;=0,"Long Buildup","Short Covering"),IF(H105&gt;=0,"Short Buildup","Long Unwinding")))</f>
        <v>Short Buildup</v>
      </c>
      <c r="J105" s="6" t="n">
        <f aca="false">IFERROR(V105/Y105-1,"")</f>
        <v>0.0137629360930331</v>
      </c>
      <c r="K105" s="6" t="n">
        <f aca="false">IFERROR(AA105/AD105-1,"")</f>
        <v>0.0746351172047766</v>
      </c>
      <c r="L105" s="3" t="str">
        <f aca="false">IF(OR(J105="",K105=""),"n/a (new)",IF(J105&gt;=0,IF(K105&gt;=0,"Long Buildup","Short Covering"),IF(K105&gt;=0,"Short Buildup","Long Unwinding")))</f>
        <v>Long Buildup</v>
      </c>
      <c r="M105" s="6" t="n">
        <f aca="false">IFERROR(V105/Z105-1,"")</f>
        <v>-0.0767167833753312</v>
      </c>
      <c r="N105" s="6" t="n">
        <f aca="false">IFERROR(AA105/AE105-1,"")</f>
        <v>0.17457248172095</v>
      </c>
      <c r="O105" s="3" t="str">
        <f aca="false">IF(OR(M105="",N105=""),"n/a (new)",IF(M105&gt;=0,IF(N105&gt;=0,"Long Buildup","Short Covering"),IF(N105&gt;=0,"Short Buildup","Long Unwinding")))</f>
        <v>Short Buildup</v>
      </c>
      <c r="P105" s="7" t="n">
        <f aca="false">IFERROR(AF105/AG105,"")</f>
        <v>0.450297192047551</v>
      </c>
      <c r="Q105" s="7" t="n">
        <f aca="false">IFERROR(AH105/AI105,"")</f>
        <v>0.3939336492891</v>
      </c>
      <c r="V105" s="9" t="n">
        <v>1425.3</v>
      </c>
      <c r="W105" s="9" t="n">
        <v>1447.02</v>
      </c>
      <c r="X105" s="9" t="n">
        <v>1469.92</v>
      </c>
      <c r="Y105" s="9" t="n">
        <v>1405.95</v>
      </c>
      <c r="Z105" s="9" t="n">
        <v>1543.73</v>
      </c>
      <c r="AA105" s="10" t="n">
        <v>7289250</v>
      </c>
      <c r="AB105" s="10" t="n">
        <v>8499750</v>
      </c>
      <c r="AC105" s="10" t="n">
        <v>7276125</v>
      </c>
      <c r="AD105" s="10" t="n">
        <v>6783000</v>
      </c>
      <c r="AE105" s="10" t="n">
        <v>6205875</v>
      </c>
      <c r="AF105" s="10" t="n">
        <v>1647750</v>
      </c>
      <c r="AG105" s="10" t="n">
        <v>3659250</v>
      </c>
      <c r="AH105" s="10" t="n">
        <v>1558500</v>
      </c>
      <c r="AI105" s="10" t="n">
        <v>3956250</v>
      </c>
    </row>
    <row r="106" customFormat="false" ht="15" hidden="false" customHeight="false" outlineLevel="0" collapsed="false">
      <c r="A106" s="3" t="n">
        <v>103</v>
      </c>
      <c r="B106" s="4" t="s">
        <v>140</v>
      </c>
      <c r="C106" s="5" t="n">
        <v>-7.24</v>
      </c>
      <c r="D106" s="6" t="n">
        <f aca="false">IFERROR(V106/W106-1,"")</f>
        <v>0.0029955583100918</v>
      </c>
      <c r="E106" s="6" t="n">
        <f aca="false">IFERROR(AA106/AB106-1,"")</f>
        <v>0.00300060012002401</v>
      </c>
      <c r="F106" s="3" t="str">
        <f aca="false">IF(OR(D106="",E106=""),"n/a (new)",IF(D106&gt;=0,IF(E106&gt;=0,"Long Buildup","Short Covering"),IF(E106&gt;=0,"Short Buildup","Long Unwinding")))</f>
        <v>Long Buildup</v>
      </c>
      <c r="G106" s="6" t="n">
        <f aca="false">IFERROR(V106/X106-1,"")</f>
        <v>-0.0360108303249098</v>
      </c>
      <c r="H106" s="6" t="n">
        <f aca="false">IFERROR(AA106/AC106-1,"")</f>
        <v>-0.0189786734494228</v>
      </c>
      <c r="I106" s="3" t="str">
        <f aca="false">IF(OR(G106="",H106=""),"n/a (new)",IF(G106&gt;=0,IF(H106&gt;=0,"Long Buildup","Short Covering"),IF(H106&gt;=0,"Short Buildup","Long Unwinding")))</f>
        <v>Long Unwinding</v>
      </c>
      <c r="J106" s="6" t="n">
        <f aca="false">IFERROR(V106/Y106-1,"")</f>
        <v>-0.0155760368663596</v>
      </c>
      <c r="K106" s="6" t="n">
        <f aca="false">IFERROR(AA106/AD106-1,"")</f>
        <v>-0.0541407281644972</v>
      </c>
      <c r="L106" s="3" t="str">
        <f aca="false">IF(OR(J106="",K106=""),"n/a (new)",IF(J106&gt;=0,IF(K106&gt;=0,"Long Buildup","Short Covering"),IF(K106&gt;=0,"Short Buildup","Long Unwinding")))</f>
        <v>Long Unwinding</v>
      </c>
      <c r="M106" s="6" t="n">
        <f aca="false">IFERROR(V106/Z106-1,"")</f>
        <v>-0.128799928222445</v>
      </c>
      <c r="N106" s="6" t="n">
        <f aca="false">IFERROR(AA106/AE106-1,"")</f>
        <v>0.0103778337531486</v>
      </c>
      <c r="O106" s="3" t="str">
        <f aca="false">IF(OR(M106="",N106=""),"n/a (new)",IF(M106&gt;=0,IF(N106&gt;=0,"Long Buildup","Short Covering"),IF(N106&gt;=0,"Short Buildup","Long Unwinding")))</f>
        <v>Short Buildup</v>
      </c>
      <c r="P106" s="7" t="n">
        <f aca="false">IFERROR(AF106/AG106,"")</f>
        <v>0.957704918032787</v>
      </c>
      <c r="Q106" s="7" t="n">
        <f aca="false">IFERROR(AH106/AI106,"")</f>
        <v>1.04550898203593</v>
      </c>
      <c r="V106" s="9" t="n">
        <v>1068.1</v>
      </c>
      <c r="W106" s="9" t="n">
        <v>1064.91</v>
      </c>
      <c r="X106" s="9" t="n">
        <v>1108</v>
      </c>
      <c r="Y106" s="9" t="n">
        <v>1085</v>
      </c>
      <c r="Z106" s="9" t="n">
        <v>1226.01</v>
      </c>
      <c r="AA106" s="10" t="n">
        <v>5515400</v>
      </c>
      <c r="AB106" s="10" t="n">
        <v>5498900</v>
      </c>
      <c r="AC106" s="10" t="n">
        <v>5622100</v>
      </c>
      <c r="AD106" s="10" t="n">
        <v>5831100</v>
      </c>
      <c r="AE106" s="10" t="n">
        <v>5458750</v>
      </c>
      <c r="AF106" s="10" t="n">
        <v>1606550</v>
      </c>
      <c r="AG106" s="10" t="n">
        <v>1677500</v>
      </c>
      <c r="AH106" s="10" t="n">
        <v>1440450</v>
      </c>
      <c r="AI106" s="10" t="n">
        <v>1377750</v>
      </c>
    </row>
    <row r="107" customFormat="false" ht="15" hidden="false" customHeight="false" outlineLevel="0" collapsed="false">
      <c r="A107" s="3" t="n">
        <v>104</v>
      </c>
      <c r="B107" s="4" t="s">
        <v>141</v>
      </c>
      <c r="C107" s="5" t="n">
        <v>-7.25</v>
      </c>
      <c r="D107" s="6" t="n">
        <f aca="false">IFERROR(V107/W107-1,"")</f>
        <v>-0.0291262135922331</v>
      </c>
      <c r="E107" s="6" t="n">
        <f aca="false">IFERROR(AA107/AB107-1,"")</f>
        <v>-0.0531328999638859</v>
      </c>
      <c r="F107" s="3" t="str">
        <f aca="false">IF(OR(D107="",E107=""),"n/a (new)",IF(D107&gt;=0,IF(E107&gt;=0,"Long Buildup","Short Covering"),IF(E107&gt;=0,"Short Buildup","Long Unwinding")))</f>
        <v>Long Unwinding</v>
      </c>
      <c r="G107" s="6" t="n">
        <f aca="false">IFERROR(V107/X107-1,"")</f>
        <v>-0.0445529130750857</v>
      </c>
      <c r="H107" s="6" t="n">
        <f aca="false">IFERROR(AA107/AC107-1,"")</f>
        <v>-0.0455062571103527</v>
      </c>
      <c r="I107" s="3" t="str">
        <f aca="false">IF(OR(G107="",H107=""),"n/a (new)",IF(G107&gt;=0,IF(H107&gt;=0,"Long Buildup","Short Covering"),IF(H107&gt;=0,"Short Buildup","Long Unwinding")))</f>
        <v>Long Unwinding</v>
      </c>
      <c r="J107" s="6" t="n">
        <f aca="false">IFERROR(V107/Y107-1,"")</f>
        <v>-0.0233545647558386</v>
      </c>
      <c r="K107" s="6" t="n">
        <f aca="false">IFERROR(AA107/AD107-1,"")</f>
        <v>-0.052063090342116</v>
      </c>
      <c r="L107" s="3" t="str">
        <f aca="false">IF(OR(J107="",K107=""),"n/a (new)",IF(J107&gt;=0,IF(K107&gt;=0,"Long Buildup","Short Covering"),IF(K107&gt;=0,"Short Buildup","Long Unwinding")))</f>
        <v>Long Unwinding</v>
      </c>
      <c r="M107" s="6" t="n">
        <f aca="false">IFERROR(V107/Z107-1,"")</f>
        <v>-0.0517907755733059</v>
      </c>
      <c r="N107" s="6" t="n">
        <f aca="false">IFERROR(AA107/AE107-1,"")</f>
        <v>-0.18934065084641</v>
      </c>
      <c r="O107" s="3" t="str">
        <f aca="false">IF(OR(M107="",N107=""),"n/a (new)",IF(M107&gt;=0,IF(N107&gt;=0,"Long Buildup","Short Covering"),IF(N107&gt;=0,"Short Buildup","Long Unwinding")))</f>
        <v>Long Unwinding</v>
      </c>
      <c r="P107" s="7" t="n">
        <f aca="false">IFERROR(AF107/AG107,"")</f>
        <v>0.769038817005545</v>
      </c>
      <c r="Q107" s="7" t="n">
        <f aca="false">IFERROR(AH107/AI107,"")</f>
        <v>0.73343253968254</v>
      </c>
      <c r="V107" s="9" t="n">
        <v>368</v>
      </c>
      <c r="W107" s="9" t="n">
        <v>379.04</v>
      </c>
      <c r="X107" s="9" t="n">
        <v>385.16</v>
      </c>
      <c r="Y107" s="9" t="n">
        <v>376.8</v>
      </c>
      <c r="Z107" s="9" t="n">
        <v>388.1</v>
      </c>
      <c r="AA107" s="10" t="n">
        <v>26218750</v>
      </c>
      <c r="AB107" s="10" t="n">
        <v>27690000</v>
      </c>
      <c r="AC107" s="10" t="n">
        <v>27468750</v>
      </c>
      <c r="AD107" s="10" t="n">
        <v>27658750</v>
      </c>
      <c r="AE107" s="10" t="n">
        <v>32342500</v>
      </c>
      <c r="AF107" s="10" t="n">
        <v>10401250</v>
      </c>
      <c r="AG107" s="10" t="n">
        <v>13525000</v>
      </c>
      <c r="AH107" s="10" t="n">
        <v>9241250</v>
      </c>
      <c r="AI107" s="10" t="n">
        <v>12600000</v>
      </c>
    </row>
    <row r="108" customFormat="false" ht="15" hidden="false" customHeight="false" outlineLevel="0" collapsed="false">
      <c r="A108" s="3" t="n">
        <v>105</v>
      </c>
      <c r="B108" s="4" t="s">
        <v>142</v>
      </c>
      <c r="C108" s="5" t="n">
        <v>-7.26</v>
      </c>
      <c r="D108" s="6" t="n">
        <f aca="false">IFERROR(V108/W108-1,"")</f>
        <v>-0.0165267803063079</v>
      </c>
      <c r="E108" s="6" t="n">
        <f aca="false">IFERROR(AA108/AB108-1,"")</f>
        <v>0.0139599277006499</v>
      </c>
      <c r="F108" s="3" t="str">
        <f aca="false">IF(OR(D108="",E108=""),"n/a (new)",IF(D108&gt;=0,IF(E108&gt;=0,"Long Buildup","Short Covering"),IF(E108&gt;=0,"Short Buildup","Long Unwinding")))</f>
        <v>Short Buildup</v>
      </c>
      <c r="G108" s="6" t="n">
        <f aca="false">IFERROR(V108/X108-1,"")</f>
        <v>-0.0523239574604685</v>
      </c>
      <c r="H108" s="6" t="n">
        <f aca="false">IFERROR(AA108/AC108-1,"")</f>
        <v>0.0316951009547659</v>
      </c>
      <c r="I108" s="3" t="str">
        <f aca="false">IF(OR(G108="",H108=""),"n/a (new)",IF(G108&gt;=0,IF(H108&gt;=0,"Long Buildup","Short Covering"),IF(H108&gt;=0,"Short Buildup","Long Unwinding")))</f>
        <v>Short Buildup</v>
      </c>
      <c r="J108" s="6" t="n">
        <f aca="false">IFERROR(V108/Y108-1,"")</f>
        <v>0.012556736941038</v>
      </c>
      <c r="K108" s="6" t="n">
        <f aca="false">IFERROR(AA108/AD108-1,"")</f>
        <v>0.0671901562373514</v>
      </c>
      <c r="L108" s="3" t="str">
        <f aca="false">IF(OR(J108="",K108=""),"n/a (new)",IF(J108&gt;=0,IF(K108&gt;=0,"Long Buildup","Short Covering"),IF(K108&gt;=0,"Short Buildup","Long Unwinding")))</f>
        <v>Long Buildup</v>
      </c>
      <c r="M108" s="6" t="n">
        <f aca="false">IFERROR(V108/Z108-1,"")</f>
        <v>-0.0645113499810698</v>
      </c>
      <c r="N108" s="6" t="n">
        <f aca="false">IFERROR(AA108/AE108-1,"")</f>
        <v>0.0608352780236581</v>
      </c>
      <c r="O108" s="3" t="str">
        <f aca="false">IF(OR(M108="",N108=""),"n/a (new)",IF(M108&gt;=0,IF(N108&gt;=0,"Long Buildup","Short Covering"),IF(N108&gt;=0,"Short Buildup","Long Unwinding")))</f>
        <v>Short Buildup</v>
      </c>
      <c r="P108" s="7" t="n">
        <f aca="false">IFERROR(AF108/AG108,"")</f>
        <v>0.801795063575168</v>
      </c>
      <c r="Q108" s="7" t="n">
        <f aca="false">IFERROR(AH108/AI108,"")</f>
        <v>0.906307129798903</v>
      </c>
      <c r="V108" s="9" t="n">
        <v>2273.2</v>
      </c>
      <c r="W108" s="9" t="n">
        <v>2311.4</v>
      </c>
      <c r="X108" s="9" t="n">
        <v>2398.71</v>
      </c>
      <c r="Y108" s="9" t="n">
        <v>2245.01</v>
      </c>
      <c r="Z108" s="9" t="n">
        <v>2429.96</v>
      </c>
      <c r="AA108" s="10" t="n">
        <v>7909800</v>
      </c>
      <c r="AB108" s="10" t="n">
        <v>7800900</v>
      </c>
      <c r="AC108" s="10" t="n">
        <v>7666800</v>
      </c>
      <c r="AD108" s="10" t="n">
        <v>7411800</v>
      </c>
      <c r="AE108" s="10" t="n">
        <v>7456200</v>
      </c>
      <c r="AF108" s="10" t="n">
        <v>1608000</v>
      </c>
      <c r="AG108" s="10" t="n">
        <v>2005500</v>
      </c>
      <c r="AH108" s="10" t="n">
        <v>1189800</v>
      </c>
      <c r="AI108" s="10" t="n">
        <v>1312800</v>
      </c>
    </row>
    <row r="109" customFormat="false" ht="15" hidden="false" customHeight="false" outlineLevel="0" collapsed="false">
      <c r="A109" s="3" t="n">
        <v>106</v>
      </c>
      <c r="B109" s="4" t="s">
        <v>143</v>
      </c>
      <c r="C109" s="5" t="n">
        <v>-7.51</v>
      </c>
      <c r="D109" s="6" t="n">
        <f aca="false">IFERROR(V109/W109-1,"")</f>
        <v>-0.00269056758979969</v>
      </c>
      <c r="E109" s="6" t="n">
        <f aca="false">IFERROR(AA109/AB109-1,"")</f>
        <v>-0.0674376069384625</v>
      </c>
      <c r="F109" s="3" t="str">
        <f aca="false">IF(OR(D109="",E109=""),"n/a (new)",IF(D109&gt;=0,IF(E109&gt;=0,"Long Buildup","Short Covering"),IF(E109&gt;=0,"Short Buildup","Long Unwinding")))</f>
        <v>Long Unwinding</v>
      </c>
      <c r="G109" s="6" t="n">
        <f aca="false">IFERROR(V109/X109-1,"")</f>
        <v>-0.0679927290780822</v>
      </c>
      <c r="H109" s="6" t="n">
        <f aca="false">IFERROR(AA109/AC109-1,"")</f>
        <v>-0.00164224355735221</v>
      </c>
      <c r="I109" s="3" t="str">
        <f aca="false">IF(OR(G109="",H109=""),"n/a (new)",IF(G109&gt;=0,IF(H109&gt;=0,"Long Buildup","Short Covering"),IF(H109&gt;=0,"Short Buildup","Long Unwinding")))</f>
        <v>Long Unwinding</v>
      </c>
      <c r="J109" s="6" t="n">
        <f aca="false">IFERROR(V109/Y109-1,"")</f>
        <v>-0.0302126383148913</v>
      </c>
      <c r="K109" s="6" t="n">
        <f aca="false">IFERROR(AA109/AD109-1,"")</f>
        <v>-0.0277418957987329</v>
      </c>
      <c r="L109" s="3" t="str">
        <f aca="false">IF(OR(J109="",K109=""),"n/a (new)",IF(J109&gt;=0,IF(K109&gt;=0,"Long Buildup","Short Covering"),IF(K109&gt;=0,"Short Buildup","Long Unwinding")))</f>
        <v>Long Unwinding</v>
      </c>
      <c r="M109" s="6" t="n">
        <f aca="false">IFERROR(V109/Z109-1,"")</f>
        <v>-0.16192629502153</v>
      </c>
      <c r="N109" s="6" t="n">
        <f aca="false">IFERROR(AA109/AE109-1,"")</f>
        <v>-0.0476592155208773</v>
      </c>
      <c r="O109" s="3" t="str">
        <f aca="false">IF(OR(M109="",N109=""),"n/a (new)",IF(M109&gt;=0,IF(N109&gt;=0,"Long Buildup","Short Covering"),IF(N109&gt;=0,"Short Buildup","Long Unwinding")))</f>
        <v>Long Unwinding</v>
      </c>
      <c r="P109" s="7" t="n">
        <f aca="false">IFERROR(AF109/AG109,"")</f>
        <v>0.490451120057809</v>
      </c>
      <c r="Q109" s="7" t="n">
        <f aca="false">IFERROR(AH109/AI109,"")</f>
        <v>0.411500449236298</v>
      </c>
      <c r="V109" s="9" t="n">
        <v>1163.9</v>
      </c>
      <c r="W109" s="9" t="n">
        <v>1167.04</v>
      </c>
      <c r="X109" s="9" t="n">
        <v>1248.81</v>
      </c>
      <c r="Y109" s="9" t="n">
        <v>1200.16</v>
      </c>
      <c r="Z109" s="9" t="n">
        <v>1388.78</v>
      </c>
      <c r="AA109" s="10" t="n">
        <v>6322400</v>
      </c>
      <c r="AB109" s="10" t="n">
        <v>6779600</v>
      </c>
      <c r="AC109" s="10" t="n">
        <v>6332800</v>
      </c>
      <c r="AD109" s="10" t="n">
        <v>6502800</v>
      </c>
      <c r="AE109" s="10" t="n">
        <v>6638800</v>
      </c>
      <c r="AF109" s="10" t="n">
        <v>1900400</v>
      </c>
      <c r="AG109" s="10" t="n">
        <v>3874800</v>
      </c>
      <c r="AH109" s="10" t="n">
        <v>1282400</v>
      </c>
      <c r="AI109" s="10" t="n">
        <v>3116400</v>
      </c>
    </row>
    <row r="110" customFormat="false" ht="15" hidden="false" customHeight="false" outlineLevel="0" collapsed="false">
      <c r="A110" s="3" t="n">
        <v>107</v>
      </c>
      <c r="B110" s="4" t="s">
        <v>144</v>
      </c>
      <c r="C110" s="5" t="n">
        <v>-7.6</v>
      </c>
      <c r="D110" s="6" t="n">
        <f aca="false">IFERROR(V110/W110-1,"")</f>
        <v>-0.0129054234037107</v>
      </c>
      <c r="E110" s="6" t="n">
        <f aca="false">IFERROR(AA110/AB110-1,"")</f>
        <v>-0.05715174774401</v>
      </c>
      <c r="F110" s="3" t="str">
        <f aca="false">IF(OR(D110="",E110=""),"n/a (new)",IF(D110&gt;=0,IF(E110&gt;=0,"Long Buildup","Short Covering"),IF(E110&gt;=0,"Short Buildup","Long Unwinding")))</f>
        <v>Long Unwinding</v>
      </c>
      <c r="G110" s="6" t="n">
        <f aca="false">IFERROR(V110/X110-1,"")</f>
        <v>-0.0502075200862557</v>
      </c>
      <c r="H110" s="6" t="n">
        <f aca="false">IFERROR(AA110/AC110-1,"")</f>
        <v>-0.0483170182693817</v>
      </c>
      <c r="I110" s="3" t="str">
        <f aca="false">IF(OR(G110="",H110=""),"n/a (new)",IF(G110&gt;=0,IF(H110&gt;=0,"Long Buildup","Short Covering"),IF(H110&gt;=0,"Short Buildup","Long Unwinding")))</f>
        <v>Long Unwinding</v>
      </c>
      <c r="J110" s="6" t="n">
        <f aca="false">IFERROR(V110/Y110-1,"")</f>
        <v>-0.0432788558418278</v>
      </c>
      <c r="K110" s="6" t="n">
        <f aca="false">IFERROR(AA110/AD110-1,"")</f>
        <v>-0.066159852064927</v>
      </c>
      <c r="L110" s="3" t="str">
        <f aca="false">IF(OR(J110="",K110=""),"n/a (new)",IF(J110&gt;=0,IF(K110&gt;=0,"Long Buildup","Short Covering"),IF(K110&gt;=0,"Short Buildup","Long Unwinding")))</f>
        <v>Long Unwinding</v>
      </c>
      <c r="M110" s="6" t="n">
        <f aca="false">IFERROR(V110/Z110-1,"")</f>
        <v>-0.0442942040883633</v>
      </c>
      <c r="N110" s="6" t="n">
        <f aca="false">IFERROR(AA110/AE110-1,"")</f>
        <v>-0.214652900773252</v>
      </c>
      <c r="O110" s="3" t="str">
        <f aca="false">IF(OR(M110="",N110=""),"n/a (new)",IF(M110&gt;=0,IF(N110&gt;=0,"Long Buildup","Short Covering"),IF(N110&gt;=0,"Short Buildup","Long Unwinding")))</f>
        <v>Long Unwinding</v>
      </c>
      <c r="P110" s="7" t="n">
        <f aca="false">IFERROR(AF110/AG110,"")</f>
        <v>0.511240371010847</v>
      </c>
      <c r="Q110" s="7" t="n">
        <f aca="false">IFERROR(AH110/AI110,"")</f>
        <v>0.587758945386064</v>
      </c>
      <c r="V110" s="9" t="n">
        <v>19010.03</v>
      </c>
      <c r="W110" s="9" t="n">
        <v>19258.57</v>
      </c>
      <c r="X110" s="9" t="n">
        <v>20014.93</v>
      </c>
      <c r="Y110" s="9" t="n">
        <v>19869.98</v>
      </c>
      <c r="Z110" s="9" t="n">
        <v>19891.09</v>
      </c>
      <c r="AA110" s="10" t="n">
        <v>909000</v>
      </c>
      <c r="AB110" s="10" t="n">
        <v>964100</v>
      </c>
      <c r="AC110" s="10" t="n">
        <v>955150</v>
      </c>
      <c r="AD110" s="10" t="n">
        <v>973400</v>
      </c>
      <c r="AE110" s="10" t="n">
        <v>1157450</v>
      </c>
      <c r="AF110" s="10" t="n">
        <v>325200</v>
      </c>
      <c r="AG110" s="10" t="n">
        <v>636100</v>
      </c>
      <c r="AH110" s="10" t="n">
        <v>312100</v>
      </c>
      <c r="AI110" s="10" t="n">
        <v>531000</v>
      </c>
    </row>
    <row r="111" customFormat="false" ht="15" hidden="false" customHeight="false" outlineLevel="0" collapsed="false">
      <c r="A111" s="3" t="n">
        <v>108</v>
      </c>
      <c r="B111" s="4" t="s">
        <v>145</v>
      </c>
      <c r="C111" s="5" t="n">
        <v>-7.64</v>
      </c>
      <c r="D111" s="6" t="n">
        <f aca="false">IFERROR(V111/W111-1,"")</f>
        <v>-0.0203472706748579</v>
      </c>
      <c r="E111" s="6" t="n">
        <f aca="false">IFERROR(AA111/AB111-1,"")</f>
        <v>-0.033381191672649</v>
      </c>
      <c r="F111" s="3" t="str">
        <f aca="false">IF(OR(D111="",E111=""),"n/a (new)",IF(D111&gt;=0,IF(E111&gt;=0,"Long Buildup","Short Covering"),IF(E111&gt;=0,"Short Buildup","Long Unwinding")))</f>
        <v>Long Unwinding</v>
      </c>
      <c r="G111" s="6" t="n">
        <f aca="false">IFERROR(V111/X111-1,"")</f>
        <v>-0.0674485536710351</v>
      </c>
      <c r="H111" s="6" t="n">
        <f aca="false">IFERROR(AA111/AC111-1,"")</f>
        <v>-0.0173326035395001</v>
      </c>
      <c r="I111" s="3" t="str">
        <f aca="false">IF(OR(G111="",H111=""),"n/a (new)",IF(G111&gt;=0,IF(H111&gt;=0,"Long Buildup","Short Covering"),IF(H111&gt;=0,"Short Buildup","Long Unwinding")))</f>
        <v>Long Unwinding</v>
      </c>
      <c r="J111" s="6" t="n">
        <f aca="false">IFERROR(V111/Y111-1,"")</f>
        <v>-0.0250536298972565</v>
      </c>
      <c r="K111" s="6" t="n">
        <f aca="false">IFERROR(AA111/AD111-1,"")</f>
        <v>-0.0293746621012795</v>
      </c>
      <c r="L111" s="3" t="str">
        <f aca="false">IF(OR(J111="",K111=""),"n/a (new)",IF(J111&gt;=0,IF(K111&gt;=0,"Long Buildup","Short Covering"),IF(K111&gt;=0,"Short Buildup","Long Unwinding")))</f>
        <v>Long Unwinding</v>
      </c>
      <c r="M111" s="6" t="n">
        <f aca="false">IFERROR(V111/Z111-1,"")</f>
        <v>-0.123353451470282</v>
      </c>
      <c r="N111" s="6" t="n">
        <f aca="false">IFERROR(AA111/AE111-1,"")</f>
        <v>-0.136305323925593</v>
      </c>
      <c r="O111" s="3" t="str">
        <f aca="false">IF(OR(M111="",N111=""),"n/a (new)",IF(M111&gt;=0,IF(N111&gt;=0,"Long Buildup","Short Covering"),IF(N111&gt;=0,"Short Buildup","Long Unwinding")))</f>
        <v>Long Unwinding</v>
      </c>
      <c r="P111" s="7" t="n">
        <f aca="false">IFERROR(AF111/AG111,"")</f>
        <v>0.685945945945946</v>
      </c>
      <c r="Q111" s="7" t="n">
        <f aca="false">IFERROR(AH111/AI111,"")</f>
        <v>0.538061158100195</v>
      </c>
      <c r="V111" s="9" t="n">
        <v>1727.02</v>
      </c>
      <c r="W111" s="9" t="n">
        <v>1762.89</v>
      </c>
      <c r="X111" s="9" t="n">
        <v>1851.93</v>
      </c>
      <c r="Y111" s="9" t="n">
        <v>1771.4</v>
      </c>
      <c r="Z111" s="9" t="n">
        <v>1970.03</v>
      </c>
      <c r="AA111" s="10" t="n">
        <v>1481150</v>
      </c>
      <c r="AB111" s="10" t="n">
        <v>1532300</v>
      </c>
      <c r="AC111" s="10" t="n">
        <v>1507275</v>
      </c>
      <c r="AD111" s="10" t="n">
        <v>1525975</v>
      </c>
      <c r="AE111" s="10" t="n">
        <v>1714900</v>
      </c>
      <c r="AF111" s="10" t="n">
        <v>348975</v>
      </c>
      <c r="AG111" s="10" t="n">
        <v>508750</v>
      </c>
      <c r="AH111" s="10" t="n">
        <v>227425</v>
      </c>
      <c r="AI111" s="10" t="n">
        <v>422675</v>
      </c>
    </row>
    <row r="112" customFormat="false" ht="15" hidden="false" customHeight="false" outlineLevel="0" collapsed="false">
      <c r="A112" s="3" t="n">
        <v>109</v>
      </c>
      <c r="B112" s="4" t="s">
        <v>146</v>
      </c>
      <c r="C112" s="5" t="n">
        <v>-7.76</v>
      </c>
      <c r="D112" s="6" t="n">
        <f aca="false">IFERROR(V112/W112-1,"")</f>
        <v>-0.000299102691924236</v>
      </c>
      <c r="E112" s="6" t="n">
        <f aca="false">IFERROR(AA112/AB112-1,"")</f>
        <v>0.00895814513700688</v>
      </c>
      <c r="F112" s="3" t="str">
        <f aca="false">IF(OR(D112="",E112=""),"n/a (new)",IF(D112&gt;=0,IF(E112&gt;=0,"Long Buildup","Short Covering"),IF(E112&gt;=0,"Short Buildup","Long Unwinding")))</f>
        <v>Short Buildup</v>
      </c>
      <c r="G112" s="6" t="n">
        <f aca="false">IFERROR(V112/X112-1,"")</f>
        <v>-0.00722772277227723</v>
      </c>
      <c r="H112" s="6" t="n">
        <f aca="false">IFERROR(AA112/AC112-1,"")</f>
        <v>0.00660908749530598</v>
      </c>
      <c r="I112" s="3" t="str">
        <f aca="false">IF(OR(G112="",H112=""),"n/a (new)",IF(G112&gt;=0,IF(H112&gt;=0,"Long Buildup","Short Covering"),IF(H112&gt;=0,"Short Buildup","Long Unwinding")))</f>
        <v>Short Buildup</v>
      </c>
      <c r="J112" s="6" t="n">
        <f aca="false">IFERROR(V112/Y112-1,"")</f>
        <v>-0.0449512045977976</v>
      </c>
      <c r="K112" s="6" t="n">
        <f aca="false">IFERROR(AA112/AD112-1,"")</f>
        <v>-0.0197469465369706</v>
      </c>
      <c r="L112" s="3" t="str">
        <f aca="false">IF(OR(J112="",K112=""),"n/a (new)",IF(J112&gt;=0,IF(K112&gt;=0,"Long Buildup","Short Covering"),IF(K112&gt;=0,"Short Buildup","Long Unwinding")))</f>
        <v>Long Unwinding</v>
      </c>
      <c r="M112" s="6" t="n">
        <f aca="false">IFERROR(V112/Z112-1,"")</f>
        <v>-0.0596455031417049</v>
      </c>
      <c r="N112" s="6" t="n">
        <f aca="false">IFERROR(AA112/AE112-1,"")</f>
        <v>-0.0498369488161067</v>
      </c>
      <c r="O112" s="3" t="str">
        <f aca="false">IF(OR(M112="",N112=""),"n/a (new)",IF(M112&gt;=0,IF(N112&gt;=0,"Long Buildup","Short Covering"),IF(N112&gt;=0,"Short Buildup","Long Unwinding")))</f>
        <v>Long Unwinding</v>
      </c>
      <c r="P112" s="7" t="n">
        <f aca="false">IFERROR(AF112/AG112,"")</f>
        <v>1.27946834557538</v>
      </c>
      <c r="Q112" s="7" t="n">
        <f aca="false">IFERROR(AH112/AI112,"")</f>
        <v>1.58233890214797</v>
      </c>
      <c r="V112" s="9" t="n">
        <v>5013.5</v>
      </c>
      <c r="W112" s="9" t="n">
        <v>5015</v>
      </c>
      <c r="X112" s="9" t="n">
        <v>5050</v>
      </c>
      <c r="Y112" s="9" t="n">
        <v>5249.47</v>
      </c>
      <c r="Z112" s="9" t="n">
        <v>5331.5</v>
      </c>
      <c r="AA112" s="10" t="n">
        <v>1675375</v>
      </c>
      <c r="AB112" s="10" t="n">
        <v>1660500</v>
      </c>
      <c r="AC112" s="10" t="n">
        <v>1664375</v>
      </c>
      <c r="AD112" s="10" t="n">
        <v>1709125</v>
      </c>
      <c r="AE112" s="10" t="n">
        <v>1763250</v>
      </c>
      <c r="AF112" s="10" t="n">
        <v>457250</v>
      </c>
      <c r="AG112" s="10" t="n">
        <v>357375</v>
      </c>
      <c r="AH112" s="10" t="n">
        <v>331500</v>
      </c>
      <c r="AI112" s="10" t="n">
        <v>209500</v>
      </c>
    </row>
    <row r="113" customFormat="false" ht="15" hidden="false" customHeight="false" outlineLevel="0" collapsed="false">
      <c r="A113" s="3" t="n">
        <v>110</v>
      </c>
      <c r="B113" s="4" t="s">
        <v>147</v>
      </c>
      <c r="C113" s="5" t="n">
        <v>-7.79</v>
      </c>
      <c r="D113" s="6" t="n">
        <f aca="false">IFERROR(V113/W113-1,"")</f>
        <v>-0.00966292134831459</v>
      </c>
      <c r="E113" s="6" t="n">
        <f aca="false">IFERROR(AA113/AB113-1,"")</f>
        <v>0.0148338850067427</v>
      </c>
      <c r="F113" s="3" t="str">
        <f aca="false">IF(OR(D113="",E113=""),"n/a (new)",IF(D113&gt;=0,IF(E113&gt;=0,"Long Buildup","Short Covering"),IF(E113&gt;=0,"Short Buildup","Long Unwinding")))</f>
        <v>Short Buildup</v>
      </c>
      <c r="G113" s="6" t="n">
        <f aca="false">IFERROR(V113/X113-1,"")</f>
        <v>-0.0327041264266901</v>
      </c>
      <c r="H113" s="6" t="n">
        <f aca="false">IFERROR(AA113/AC113-1,"")</f>
        <v>0.00302920150248398</v>
      </c>
      <c r="I113" s="3" t="str">
        <f aca="false">IF(OR(G113="",H113=""),"n/a (new)",IF(G113&gt;=0,IF(H113&gt;=0,"Long Buildup","Short Covering"),IF(H113&gt;=0,"Short Buildup","Long Unwinding")))</f>
        <v>Short Buildup</v>
      </c>
      <c r="J113" s="6" t="n">
        <f aca="false">IFERROR(V113/Y113-1,"")</f>
        <v>0.0211718798877567</v>
      </c>
      <c r="K113" s="6" t="n">
        <f aca="false">IFERROR(AA113/AD113-1,"")</f>
        <v>-0.0333956095282578</v>
      </c>
      <c r="L113" s="3" t="str">
        <f aca="false">IF(OR(J113="",K113=""),"n/a (new)",IF(J113&gt;=0,IF(K113&gt;=0,"Long Buildup","Short Covering"),IF(K113&gt;=0,"Short Buildup","Long Unwinding")))</f>
        <v>Short Covering</v>
      </c>
      <c r="M113" s="6" t="n">
        <f aca="false">IFERROR(V113/Z113-1,"")</f>
        <v>-0.0872418278940307</v>
      </c>
      <c r="N113" s="6" t="n">
        <f aca="false">IFERROR(AA113/AE113-1,"")</f>
        <v>0.0229856648541769</v>
      </c>
      <c r="O113" s="3" t="str">
        <f aca="false">IF(OR(M113="",N113=""),"n/a (new)",IF(M113&gt;=0,IF(N113&gt;=0,"Long Buildup","Short Covering"),IF(N113&gt;=0,"Short Buildup","Long Unwinding")))</f>
        <v>Short Buildup</v>
      </c>
      <c r="P113" s="7" t="n">
        <f aca="false">IFERROR(AF113/AG113,"")</f>
        <v>0.674325259515571</v>
      </c>
      <c r="Q113" s="7" t="n">
        <f aca="false">IFERROR(AH113/AI113,"")</f>
        <v>0.559928973068955</v>
      </c>
      <c r="V113" s="9" t="n">
        <v>44070</v>
      </c>
      <c r="W113" s="9" t="n">
        <v>44500</v>
      </c>
      <c r="X113" s="9" t="n">
        <v>45560</v>
      </c>
      <c r="Y113" s="9" t="n">
        <v>43156.3</v>
      </c>
      <c r="Z113" s="9" t="n">
        <v>48282.23</v>
      </c>
      <c r="AA113" s="10" t="n">
        <v>206950</v>
      </c>
      <c r="AB113" s="10" t="n">
        <v>203925</v>
      </c>
      <c r="AC113" s="10" t="n">
        <v>206325</v>
      </c>
      <c r="AD113" s="10" t="n">
        <v>214100</v>
      </c>
      <c r="AE113" s="10" t="n">
        <v>202300</v>
      </c>
      <c r="AF113" s="10" t="n">
        <v>121800</v>
      </c>
      <c r="AG113" s="10" t="n">
        <v>180625</v>
      </c>
      <c r="AH113" s="10" t="n">
        <v>94600</v>
      </c>
      <c r="AI113" s="10" t="n">
        <v>168950</v>
      </c>
    </row>
    <row r="114" customFormat="false" ht="15" hidden="false" customHeight="false" outlineLevel="0" collapsed="false">
      <c r="A114" s="3" t="n">
        <v>111</v>
      </c>
      <c r="B114" s="4" t="s">
        <v>148</v>
      </c>
      <c r="C114" s="5" t="n">
        <v>-7.79</v>
      </c>
      <c r="D114" s="6" t="n">
        <f aca="false">IFERROR(V114/W114-1,"")</f>
        <v>-0.0134340890008395</v>
      </c>
      <c r="E114" s="6" t="n">
        <f aca="false">IFERROR(AA114/AB114-1,"")</f>
        <v>-0.0275306479859895</v>
      </c>
      <c r="F114" s="3" t="str">
        <f aca="false">IF(OR(D114="",E114=""),"n/a (new)",IF(D114&gt;=0,IF(E114&gt;=0,"Long Buildup","Short Covering"),IF(E114&gt;=0,"Short Buildup","Long Unwinding")))</f>
        <v>Long Unwinding</v>
      </c>
      <c r="G114" s="6" t="n">
        <f aca="false">IFERROR(V114/X114-1,"")</f>
        <v>-0.0663488279698054</v>
      </c>
      <c r="H114" s="6" t="n">
        <f aca="false">IFERROR(AA114/AC114-1,"")</f>
        <v>-0.0176208336281933</v>
      </c>
      <c r="I114" s="3" t="str">
        <f aca="false">IF(OR(G114="",H114=""),"n/a (new)",IF(G114&gt;=0,IF(H114&gt;=0,"Long Buildup","Short Covering"),IF(H114&gt;=0,"Short Buildup","Long Unwinding")))</f>
        <v>Long Unwinding</v>
      </c>
      <c r="J114" s="6" t="n">
        <f aca="false">IFERROR(V114/Y114-1,"")</f>
        <v>-0.0472972972972973</v>
      </c>
      <c r="K114" s="6" t="n">
        <f aca="false">IFERROR(AA114/AD114-1,"")</f>
        <v>-0.0184543590468783</v>
      </c>
      <c r="L114" s="3" t="str">
        <f aca="false">IF(OR(J114="",K114=""),"n/a (new)",IF(J114&gt;=0,IF(K114&gt;=0,"Long Buildup","Short Covering"),IF(K114&gt;=0,"Short Buildup","Long Unwinding")))</f>
        <v>Long Unwinding</v>
      </c>
      <c r="M114" s="6" t="n">
        <f aca="false">IFERROR(V114/Z114-1,"")</f>
        <v>-0.139194139194139</v>
      </c>
      <c r="N114" s="6" t="n">
        <f aca="false">IFERROR(AA114/AE114-1,"")</f>
        <v>-0.114724826222817</v>
      </c>
      <c r="O114" s="3" t="str">
        <f aca="false">IF(OR(M114="",N114=""),"n/a (new)",IF(M114&gt;=0,IF(N114&gt;=0,"Long Buildup","Short Covering"),IF(N114&gt;=0,"Short Buildup","Long Unwinding")))</f>
        <v>Long Unwinding</v>
      </c>
      <c r="P114" s="7" t="n">
        <f aca="false">IFERROR(AF114/AG114,"")</f>
        <v>0.427220799684853</v>
      </c>
      <c r="Q114" s="7" t="n">
        <f aca="false">IFERROR(AH114/AI114,"")</f>
        <v>0.464431137724551</v>
      </c>
      <c r="V114" s="9" t="n">
        <v>70.5</v>
      </c>
      <c r="W114" s="9" t="n">
        <v>71.46</v>
      </c>
      <c r="X114" s="9" t="n">
        <v>75.51</v>
      </c>
      <c r="Y114" s="9" t="n">
        <v>74</v>
      </c>
      <c r="Z114" s="9" t="n">
        <v>81.9</v>
      </c>
      <c r="AA114" s="10" t="n">
        <v>90233000</v>
      </c>
      <c r="AB114" s="10" t="n">
        <v>92787500</v>
      </c>
      <c r="AC114" s="10" t="n">
        <v>91851500</v>
      </c>
      <c r="AD114" s="10" t="n">
        <v>91929500</v>
      </c>
      <c r="AE114" s="10" t="n">
        <v>101926500</v>
      </c>
      <c r="AF114" s="10" t="n">
        <v>14098500</v>
      </c>
      <c r="AG114" s="10" t="n">
        <v>33000500</v>
      </c>
      <c r="AH114" s="10" t="n">
        <v>12603500</v>
      </c>
      <c r="AI114" s="10" t="n">
        <v>27137500</v>
      </c>
    </row>
    <row r="115" customFormat="false" ht="15" hidden="false" customHeight="false" outlineLevel="0" collapsed="false">
      <c r="A115" s="3" t="n">
        <v>112</v>
      </c>
      <c r="B115" s="4" t="s">
        <v>149</v>
      </c>
      <c r="C115" s="5" t="n">
        <v>-8.03</v>
      </c>
      <c r="D115" s="6" t="n">
        <f aca="false">IFERROR(V115/W115-1,"")</f>
        <v>-0.0132442748091605</v>
      </c>
      <c r="E115" s="6" t="n">
        <f aca="false">IFERROR(AA115/AB115-1,"")</f>
        <v>0.00852027264872479</v>
      </c>
      <c r="F115" s="3" t="str">
        <f aca="false">IF(OR(D115="",E115=""),"n/a (new)",IF(D115&gt;=0,IF(E115&gt;=0,"Long Buildup","Short Covering"),IF(E115&gt;=0,"Short Buildup","Long Unwinding")))</f>
        <v>Short Buildup</v>
      </c>
      <c r="G115" s="6" t="n">
        <f aca="false">IFERROR(V115/X115-1,"")</f>
        <v>-0.0188242438043191</v>
      </c>
      <c r="H115" s="6" t="n">
        <f aca="false">IFERROR(AA115/AC115-1,"")</f>
        <v>0.0366943807103677</v>
      </c>
      <c r="I115" s="3" t="str">
        <f aca="false">IF(OR(G115="",H115=""),"n/a (new)",IF(G115&gt;=0,IF(H115&gt;=0,"Long Buildup","Short Covering"),IF(H115&gt;=0,"Short Buildup","Long Unwinding")))</f>
        <v>Short Buildup</v>
      </c>
      <c r="J115" s="6" t="n">
        <f aca="false">IFERROR(V115/Y115-1,"")</f>
        <v>0.0149974480782065</v>
      </c>
      <c r="K115" s="6" t="n">
        <f aca="false">IFERROR(AA115/AD115-1,"")</f>
        <v>0.0126845648366831</v>
      </c>
      <c r="L115" s="3" t="str">
        <f aca="false">IF(OR(J115="",K115=""),"n/a (new)",IF(J115&gt;=0,IF(K115&gt;=0,"Long Buildup","Short Covering"),IF(K115&gt;=0,"Short Buildup","Long Unwinding")))</f>
        <v>Long Buildup</v>
      </c>
      <c r="M115" s="6" t="n">
        <f aca="false">IFERROR(V115/Z115-1,"")</f>
        <v>-0.0272049969897653</v>
      </c>
      <c r="N115" s="6" t="n">
        <f aca="false">IFERROR(AA115/AE115-1,"")</f>
        <v>0.26199819801782</v>
      </c>
      <c r="O115" s="3" t="str">
        <f aca="false">IF(OR(M115="",N115=""),"n/a (new)",IF(M115&gt;=0,IF(N115&gt;=0,"Long Buildup","Short Covering"),IF(N115&gt;=0,"Short Buildup","Long Unwinding")))</f>
        <v>Short Buildup</v>
      </c>
      <c r="P115" s="7" t="n">
        <f aca="false">IFERROR(AF115/AG115,"")</f>
        <v>0.631665159451943</v>
      </c>
      <c r="Q115" s="7" t="n">
        <f aca="false">IFERROR(AH115/AI115,"")</f>
        <v>0.525810837649144</v>
      </c>
      <c r="V115" s="9" t="n">
        <v>258.53</v>
      </c>
      <c r="W115" s="9" t="n">
        <v>262</v>
      </c>
      <c r="X115" s="9" t="n">
        <v>263.49</v>
      </c>
      <c r="Y115" s="9" t="n">
        <v>254.71</v>
      </c>
      <c r="Z115" s="9" t="n">
        <v>265.76</v>
      </c>
      <c r="AA115" s="10" t="n">
        <v>217455225</v>
      </c>
      <c r="AB115" s="10" t="n">
        <v>215618100</v>
      </c>
      <c r="AC115" s="10" t="n">
        <v>209758275</v>
      </c>
      <c r="AD115" s="10" t="n">
        <v>214731450</v>
      </c>
      <c r="AE115" s="10" t="n">
        <v>172310250</v>
      </c>
      <c r="AF115" s="10" t="n">
        <v>63859500</v>
      </c>
      <c r="AG115" s="10" t="n">
        <v>101097075</v>
      </c>
      <c r="AH115" s="10" t="n">
        <v>59371050</v>
      </c>
      <c r="AI115" s="10" t="n">
        <v>112913325</v>
      </c>
    </row>
    <row r="116" customFormat="false" ht="15" hidden="false" customHeight="false" outlineLevel="0" collapsed="false">
      <c r="A116" s="3" t="n">
        <v>113</v>
      </c>
      <c r="B116" s="4" t="s">
        <v>150</v>
      </c>
      <c r="C116" s="5" t="n">
        <v>-8.17</v>
      </c>
      <c r="D116" s="6" t="n">
        <f aca="false">IFERROR(V116/W116-1,"")</f>
        <v>-0.00303919616362691</v>
      </c>
      <c r="E116" s="6" t="n">
        <f aca="false">IFERROR(AA116/AB116-1,"")</f>
        <v>0.000819885961316214</v>
      </c>
      <c r="F116" s="3" t="str">
        <f aca="false">IF(OR(D116="",E116=""),"n/a (new)",IF(D116&gt;=0,IF(E116&gt;=0,"Long Buildup","Short Covering"),IF(E116&gt;=0,"Short Buildup","Long Unwinding")))</f>
        <v>Short Buildup</v>
      </c>
      <c r="G116" s="6" t="n">
        <f aca="false">IFERROR(V116/X116-1,"")</f>
        <v>0.00173406486233541</v>
      </c>
      <c r="H116" s="6" t="n">
        <f aca="false">IFERROR(AA116/AC116-1,"")</f>
        <v>0.0127656364904871</v>
      </c>
      <c r="I116" s="3" t="str">
        <f aca="false">IF(OR(G116="",H116=""),"n/a (new)",IF(G116&gt;=0,IF(H116&gt;=0,"Long Buildup","Short Covering"),IF(H116&gt;=0,"Short Buildup","Long Unwinding")))</f>
        <v>Long Buildup</v>
      </c>
      <c r="J116" s="6" t="n">
        <f aca="false">IFERROR(V116/Y116-1,"")</f>
        <v>-0.0212636402967615</v>
      </c>
      <c r="K116" s="6" t="n">
        <f aca="false">IFERROR(AA116/AD116-1,"")</f>
        <v>0.140460770782461</v>
      </c>
      <c r="L116" s="3" t="str">
        <f aca="false">IF(OR(J116="",K116=""),"n/a (new)",IF(J116&gt;=0,IF(K116&gt;=0,"Long Buildup","Short Covering"),IF(K116&gt;=0,"Short Buildup","Long Unwinding")))</f>
        <v>Short Buildup</v>
      </c>
      <c r="M116" s="6" t="n">
        <f aca="false">IFERROR(V116/Z116-1,"")</f>
        <v>-0.020313367130134</v>
      </c>
      <c r="N116" s="6" t="n">
        <f aca="false">IFERROR(AA116/AE116-1,"")</f>
        <v>0.413793103448276</v>
      </c>
      <c r="O116" s="3" t="str">
        <f aca="false">IF(OR(M116="",N116=""),"n/a (new)",IF(M116&gt;=0,IF(N116&gt;=0,"Long Buildup","Short Covering"),IF(N116&gt;=0,"Short Buildup","Long Unwinding")))</f>
        <v>Short Buildup</v>
      </c>
      <c r="P116" s="7" t="n">
        <f aca="false">IFERROR(AF116/AG116,"")</f>
        <v>0.556527122185251</v>
      </c>
      <c r="Q116" s="7" t="n">
        <f aca="false">IFERROR(AH116/AI116,"")</f>
        <v>0.583901555508204</v>
      </c>
      <c r="V116" s="9" t="n">
        <v>9162</v>
      </c>
      <c r="W116" s="9" t="n">
        <v>9189.93</v>
      </c>
      <c r="X116" s="9" t="n">
        <v>9146.14</v>
      </c>
      <c r="Y116" s="9" t="n">
        <v>9361.05</v>
      </c>
      <c r="Z116" s="9" t="n">
        <v>9351.97</v>
      </c>
      <c r="AA116" s="10" t="n">
        <v>5371000</v>
      </c>
      <c r="AB116" s="10" t="n">
        <v>5366600</v>
      </c>
      <c r="AC116" s="10" t="n">
        <v>5303300</v>
      </c>
      <c r="AD116" s="10" t="n">
        <v>4709500</v>
      </c>
      <c r="AE116" s="10" t="n">
        <v>3799000</v>
      </c>
      <c r="AF116" s="10" t="n">
        <v>1438400</v>
      </c>
      <c r="AG116" s="10" t="n">
        <v>2584600</v>
      </c>
      <c r="AH116" s="10" t="n">
        <v>1096100</v>
      </c>
      <c r="AI116" s="10" t="n">
        <v>1877200</v>
      </c>
    </row>
    <row r="117" customFormat="false" ht="15" hidden="false" customHeight="false" outlineLevel="0" collapsed="false">
      <c r="A117" s="3" t="n">
        <v>114</v>
      </c>
      <c r="B117" s="4" t="s">
        <v>151</v>
      </c>
      <c r="C117" s="5" t="n">
        <v>-8.3</v>
      </c>
      <c r="D117" s="6" t="n">
        <f aca="false">IFERROR(V117/W117-1,"")</f>
        <v>-0.00945017182130592</v>
      </c>
      <c r="E117" s="6" t="n">
        <f aca="false">IFERROR(AA117/AB117-1,"")</f>
        <v>-0.00205974345840732</v>
      </c>
      <c r="F117" s="3" t="str">
        <f aca="false">IF(OR(D117="",E117=""),"n/a (new)",IF(D117&gt;=0,IF(E117&gt;=0,"Long Buildup","Short Covering"),IF(E117&gt;=0,"Short Buildup","Long Unwinding")))</f>
        <v>Long Unwinding</v>
      </c>
      <c r="G117" s="6" t="n">
        <f aca="false">IFERROR(V117/X117-1,"")</f>
        <v>-0.0841938046068309</v>
      </c>
      <c r="H117" s="6" t="n">
        <f aca="false">IFERROR(AA117/AC117-1,"")</f>
        <v>-0.00343904403282325</v>
      </c>
      <c r="I117" s="3" t="str">
        <f aca="false">IF(OR(G117="",H117=""),"n/a (new)",IF(G117&gt;=0,IF(H117&gt;=0,"Long Buildup","Short Covering"),IF(H117&gt;=0,"Short Buildup","Long Unwinding")))</f>
        <v>Long Unwinding</v>
      </c>
      <c r="J117" s="6" t="n">
        <f aca="false">IFERROR(V117/Y117-1,"")</f>
        <v>-0.0992187500000001</v>
      </c>
      <c r="K117" s="6" t="n">
        <f aca="false">IFERROR(AA117/AD117-1,"")</f>
        <v>-0.0026901336353834</v>
      </c>
      <c r="L117" s="3" t="str">
        <f aca="false">IF(OR(J117="",K117=""),"n/a (new)",IF(J117&gt;=0,IF(K117&gt;=0,"Long Buildup","Short Covering"),IF(K117&gt;=0,"Short Buildup","Long Unwinding")))</f>
        <v>Long Unwinding</v>
      </c>
      <c r="M117" s="6" t="n">
        <f aca="false">IFERROR(V117/Z117-1,"")</f>
        <v>-0.192011212333567</v>
      </c>
      <c r="N117" s="6" t="n">
        <f aca="false">IFERROR(AA117/AE117-1,"")</f>
        <v>-0.00572222765128072</v>
      </c>
      <c r="O117" s="3" t="str">
        <f aca="false">IF(OR(M117="",N117=""),"n/a (new)",IF(M117&gt;=0,IF(N117&gt;=0,"Long Buildup","Short Covering"),IF(N117&gt;=0,"Short Buildup","Long Unwinding")))</f>
        <v>Long Unwinding</v>
      </c>
      <c r="P117" s="7" t="n">
        <f aca="false">IFERROR(AF117/AG117,"")</f>
        <v>0.51498995518467</v>
      </c>
      <c r="Q117" s="7" t="n">
        <f aca="false">IFERROR(AH117/AI117,"")</f>
        <v>0.482417296170878</v>
      </c>
      <c r="V117" s="9" t="n">
        <v>11.53</v>
      </c>
      <c r="W117" s="9" t="n">
        <v>11.64</v>
      </c>
      <c r="X117" s="9" t="n">
        <v>12.59</v>
      </c>
      <c r="Y117" s="9" t="n">
        <v>12.8</v>
      </c>
      <c r="Z117" s="9" t="n">
        <v>14.27</v>
      </c>
      <c r="AA117" s="10" t="n">
        <v>6544965750</v>
      </c>
      <c r="AB117" s="10" t="n">
        <v>6558474525</v>
      </c>
      <c r="AC117" s="10" t="n">
        <v>6567551850</v>
      </c>
      <c r="AD117" s="10" t="n">
        <v>6562620075</v>
      </c>
      <c r="AE117" s="10" t="n">
        <v>6582633075</v>
      </c>
      <c r="AF117" s="10" t="n">
        <v>952761750</v>
      </c>
      <c r="AG117" s="10" t="n">
        <v>1850058900</v>
      </c>
      <c r="AH117" s="10" t="n">
        <v>926601900</v>
      </c>
      <c r="AI117" s="10" t="n">
        <v>1920747675</v>
      </c>
    </row>
    <row r="118" customFormat="false" ht="15" hidden="false" customHeight="false" outlineLevel="0" collapsed="false">
      <c r="A118" s="3" t="n">
        <v>115</v>
      </c>
      <c r="B118" s="4" t="s">
        <v>152</v>
      </c>
      <c r="C118" s="5" t="n">
        <v>-8.32</v>
      </c>
      <c r="D118" s="6" t="n">
        <f aca="false">IFERROR(V118/W118-1,"")</f>
        <v>-0.0103448275862069</v>
      </c>
      <c r="E118" s="6" t="n">
        <f aca="false">IFERROR(AA118/AB118-1,"")</f>
        <v>1.81881013441298E-005</v>
      </c>
      <c r="F118" s="3" t="str">
        <f aca="false">IF(OR(D118="",E118=""),"n/a (new)",IF(D118&gt;=0,IF(E118&gt;=0,"Long Buildup","Short Covering"),IF(E118&gt;=0,"Short Buildup","Long Unwinding")))</f>
        <v>Short Buildup</v>
      </c>
      <c r="G118" s="6" t="n">
        <f aca="false">IFERROR(V118/X118-1,"")</f>
        <v>-0.0391965406611802</v>
      </c>
      <c r="H118" s="6" t="n">
        <f aca="false">IFERROR(AA118/AC118-1,"")</f>
        <v>-0.00322697606961564</v>
      </c>
      <c r="I118" s="3" t="str">
        <f aca="false">IF(OR(G118="",H118=""),"n/a (new)",IF(G118&gt;=0,IF(H118&gt;=0,"Long Buildup","Short Covering"),IF(H118&gt;=0,"Short Buildup","Long Unwinding")))</f>
        <v>Long Unwinding</v>
      </c>
      <c r="J118" s="6" t="n">
        <f aca="false">IFERROR(V118/Y118-1,"")</f>
        <v>-0.0256047531475456</v>
      </c>
      <c r="K118" s="6" t="n">
        <f aca="false">IFERROR(AA118/AD118-1,"")</f>
        <v>0.0114980591276193</v>
      </c>
      <c r="L118" s="3" t="str">
        <f aca="false">IF(OR(J118="",K118=""),"n/a (new)",IF(J118&gt;=0,IF(K118&gt;=0,"Long Buildup","Short Covering"),IF(K118&gt;=0,"Short Buildup","Long Unwinding")))</f>
        <v>Short Buildup</v>
      </c>
      <c r="M118" s="6" t="n">
        <f aca="false">IFERROR(V118/Z118-1,"")</f>
        <v>-0.141040029928919</v>
      </c>
      <c r="N118" s="6" t="n">
        <f aca="false">IFERROR(AA118/AE118-1,"")</f>
        <v>-0.0139172854119588</v>
      </c>
      <c r="O118" s="3" t="str">
        <f aca="false">IF(OR(M118="",N118=""),"n/a (new)",IF(M118&gt;=0,IF(N118&gt;=0,"Long Buildup","Short Covering"),IF(N118&gt;=0,"Short Buildup","Long Unwinding")))</f>
        <v>Long Unwinding</v>
      </c>
      <c r="P118" s="7" t="n">
        <f aca="false">IFERROR(AF118/AG118,"")</f>
        <v>0.609154266340177</v>
      </c>
      <c r="Q118" s="7" t="n">
        <f aca="false">IFERROR(AH118/AI118,"")</f>
        <v>0.530196566752646</v>
      </c>
      <c r="V118" s="9" t="n">
        <v>68.88</v>
      </c>
      <c r="W118" s="9" t="n">
        <v>69.6</v>
      </c>
      <c r="X118" s="9" t="n">
        <v>71.69</v>
      </c>
      <c r="Y118" s="9" t="n">
        <v>70.69</v>
      </c>
      <c r="Z118" s="9" t="n">
        <v>80.19</v>
      </c>
      <c r="AA118" s="10" t="n">
        <v>371128500</v>
      </c>
      <c r="AB118" s="10" t="n">
        <v>371121750</v>
      </c>
      <c r="AC118" s="10" t="n">
        <v>372330000</v>
      </c>
      <c r="AD118" s="10" t="n">
        <v>366909750</v>
      </c>
      <c r="AE118" s="10" t="n">
        <v>376366500</v>
      </c>
      <c r="AF118" s="10" t="n">
        <v>43659000</v>
      </c>
      <c r="AG118" s="10" t="n">
        <v>71671500</v>
      </c>
      <c r="AH118" s="10" t="n">
        <v>40236750</v>
      </c>
      <c r="AI118" s="10" t="n">
        <v>75890250</v>
      </c>
    </row>
    <row r="119" customFormat="false" ht="15" hidden="false" customHeight="false" outlineLevel="0" collapsed="false">
      <c r="A119" s="3" t="n">
        <v>116</v>
      </c>
      <c r="B119" s="4" t="s">
        <v>153</v>
      </c>
      <c r="C119" s="5" t="n">
        <v>-8.43</v>
      </c>
      <c r="D119" s="6" t="n">
        <f aca="false">IFERROR(V119/W119-1,"")</f>
        <v>0.000590789473684072</v>
      </c>
      <c r="E119" s="6" t="n">
        <f aca="false">IFERROR(AA119/AB119-1,"")</f>
        <v>0.00277417070003549</v>
      </c>
      <c r="F119" s="3" t="str">
        <f aca="false">IF(OR(D119="",E119=""),"n/a (new)",IF(D119&gt;=0,IF(E119&gt;=0,"Long Buildup","Short Covering"),IF(E119&gt;=0,"Short Buildup","Long Unwinding")))</f>
        <v>Long Buildup</v>
      </c>
      <c r="G119" s="6" t="n">
        <f aca="false">IFERROR(V119/X119-1,"")</f>
        <v>-0.0361911980167401</v>
      </c>
      <c r="H119" s="6" t="n">
        <f aca="false">IFERROR(AA119/AC119-1,"")</f>
        <v>0.00206440957886045</v>
      </c>
      <c r="I119" s="3" t="str">
        <f aca="false">IF(OR(G119="",H119=""),"n/a (new)",IF(G119&gt;=0,IF(H119&gt;=0,"Long Buildup","Short Covering"),IF(H119&gt;=0,"Short Buildup","Long Unwinding")))</f>
        <v>Short Buildup</v>
      </c>
      <c r="J119" s="6" t="n">
        <f aca="false">IFERROR(V119/Y119-1,"")</f>
        <v>-0.00802374119488658</v>
      </c>
      <c r="K119" s="6" t="n">
        <f aca="false">IFERROR(AA119/AD119-1,"")</f>
        <v>-0.189069212410501</v>
      </c>
      <c r="L119" s="3" t="str">
        <f aca="false">IF(OR(J119="",K119=""),"n/a (new)",IF(J119&gt;=0,IF(K119&gt;=0,"Long Buildup","Short Covering"),IF(K119&gt;=0,"Short Buildup","Long Unwinding")))</f>
        <v>Long Unwinding</v>
      </c>
      <c r="M119" s="6" t="n">
        <f aca="false">IFERROR(V119/Z119-1,"")</f>
        <v>-0.139329344895728</v>
      </c>
      <c r="N119" s="6" t="n">
        <f aca="false">IFERROR(AA119/AE119-1,"")</f>
        <v>-0.181844449795329</v>
      </c>
      <c r="O119" s="3" t="str">
        <f aca="false">IF(OR(M119="",N119=""),"n/a (new)",IF(M119&gt;=0,IF(N119&gt;=0,"Long Buildup","Short Covering"),IF(N119&gt;=0,"Short Buildup","Long Unwinding")))</f>
        <v>Long Unwinding</v>
      </c>
      <c r="P119" s="7" t="n">
        <f aca="false">IFERROR(AF119/AG119,"")</f>
        <v>0.63577774708834</v>
      </c>
      <c r="Q119" s="7" t="n">
        <f aca="false">IFERROR(AH119/AI119,"")</f>
        <v>0.512992745557134</v>
      </c>
      <c r="V119" s="9" t="n">
        <v>7604.49</v>
      </c>
      <c r="W119" s="9" t="n">
        <v>7600</v>
      </c>
      <c r="X119" s="9" t="n">
        <v>7890.04</v>
      </c>
      <c r="Y119" s="9" t="n">
        <v>7666</v>
      </c>
      <c r="Z119" s="9" t="n">
        <v>8835.54</v>
      </c>
      <c r="AA119" s="10" t="n">
        <v>2123625</v>
      </c>
      <c r="AB119" s="10" t="n">
        <v>2117750</v>
      </c>
      <c r="AC119" s="10" t="n">
        <v>2119250</v>
      </c>
      <c r="AD119" s="10" t="n">
        <v>2618750</v>
      </c>
      <c r="AE119" s="10" t="n">
        <v>2595625</v>
      </c>
      <c r="AF119" s="10" t="n">
        <v>1726375</v>
      </c>
      <c r="AG119" s="10" t="n">
        <v>2715375</v>
      </c>
      <c r="AH119" s="10" t="n">
        <v>1670625</v>
      </c>
      <c r="AI119" s="10" t="n">
        <v>3256625</v>
      </c>
    </row>
    <row r="120" customFormat="false" ht="15" hidden="false" customHeight="false" outlineLevel="0" collapsed="false">
      <c r="A120" s="3" t="n">
        <v>117</v>
      </c>
      <c r="B120" s="4" t="s">
        <v>154</v>
      </c>
      <c r="C120" s="5" t="n">
        <v>-8.51</v>
      </c>
      <c r="D120" s="6" t="n">
        <f aca="false">IFERROR(V120/W120-1,"")</f>
        <v>0.00644662197008761</v>
      </c>
      <c r="E120" s="6" t="n">
        <f aca="false">IFERROR(AA120/AB120-1,"")</f>
        <v>0.0187801127626859</v>
      </c>
      <c r="F120" s="3" t="str">
        <f aca="false">IF(OR(D120="",E120=""),"n/a (new)",IF(D120&gt;=0,IF(E120&gt;=0,"Long Buildup","Short Covering"),IF(E120&gt;=0,"Short Buildup","Long Unwinding")))</f>
        <v>Long Buildup</v>
      </c>
      <c r="G120" s="6" t="n">
        <f aca="false">IFERROR(V120/X120-1,"")</f>
        <v>-0.00139299522401637</v>
      </c>
      <c r="H120" s="6" t="n">
        <f aca="false">IFERROR(AA120/AC120-1,"")</f>
        <v>0.0198046217625087</v>
      </c>
      <c r="I120" s="3" t="str">
        <f aca="false">IF(OR(G120="",H120=""),"n/a (new)",IF(G120&gt;=0,IF(H120&gt;=0,"Long Buildup","Short Covering"),IF(H120&gt;=0,"Short Buildup","Long Unwinding")))</f>
        <v>Short Buildup</v>
      </c>
      <c r="J120" s="6" t="n">
        <f aca="false">IFERROR(V120/Y120-1,"")</f>
        <v>-0.00112606848543795</v>
      </c>
      <c r="K120" s="6" t="n">
        <f aca="false">IFERROR(AA120/AD120-1,"")</f>
        <v>0.0147854677640042</v>
      </c>
      <c r="L120" s="3" t="str">
        <f aca="false">IF(OR(J120="",K120=""),"n/a (new)",IF(J120&gt;=0,IF(K120&gt;=0,"Long Buildup","Short Covering"),IF(K120&gt;=0,"Short Buildup","Long Unwinding")))</f>
        <v>Short Buildup</v>
      </c>
      <c r="M120" s="6" t="n">
        <f aca="false">IFERROR(V120/Z120-1,"")</f>
        <v>-0.0487705805892549</v>
      </c>
      <c r="N120" s="6" t="n">
        <f aca="false">IFERROR(AA120/AE120-1,"")</f>
        <v>0.118662764520486</v>
      </c>
      <c r="O120" s="3" t="str">
        <f aca="false">IF(OR(M120="",N120=""),"n/a (new)",IF(M120&gt;=0,IF(N120&gt;=0,"Long Buildup","Short Covering"),IF(N120&gt;=0,"Short Buildup","Long Unwinding")))</f>
        <v>Short Buildup</v>
      </c>
      <c r="P120" s="7" t="n">
        <f aca="false">IFERROR(AF120/AG120,"")</f>
        <v>0.811665495432186</v>
      </c>
      <c r="Q120" s="7" t="n">
        <f aca="false">IFERROR(AH120/AI120,"")</f>
        <v>0.71236541598695</v>
      </c>
      <c r="V120" s="9" t="n">
        <v>1756.35</v>
      </c>
      <c r="W120" s="9" t="n">
        <v>1745.1</v>
      </c>
      <c r="X120" s="9" t="n">
        <v>1758.8</v>
      </c>
      <c r="Y120" s="9" t="n">
        <v>1758.33</v>
      </c>
      <c r="Z120" s="9" t="n">
        <v>1846.4</v>
      </c>
      <c r="AA120" s="10" t="n">
        <v>17391850</v>
      </c>
      <c r="AB120" s="10" t="n">
        <v>17071250</v>
      </c>
      <c r="AC120" s="10" t="n">
        <v>17054100</v>
      </c>
      <c r="AD120" s="10" t="n">
        <v>17138450</v>
      </c>
      <c r="AE120" s="10" t="n">
        <v>15547000</v>
      </c>
      <c r="AF120" s="10" t="n">
        <v>4446750</v>
      </c>
      <c r="AG120" s="10" t="n">
        <v>5478550</v>
      </c>
      <c r="AH120" s="10" t="n">
        <v>3820950</v>
      </c>
      <c r="AI120" s="10" t="n">
        <v>5363750</v>
      </c>
    </row>
    <row r="121" customFormat="false" ht="15" hidden="false" customHeight="false" outlineLevel="0" collapsed="false">
      <c r="A121" s="3" t="n">
        <v>118</v>
      </c>
      <c r="B121" s="4" t="s">
        <v>155</v>
      </c>
      <c r="C121" s="5" t="n">
        <v>-8.55</v>
      </c>
      <c r="D121" s="6" t="n">
        <f aca="false">IFERROR(V121/W121-1,"")</f>
        <v>0.00102788553997146</v>
      </c>
      <c r="E121" s="6" t="n">
        <f aca="false">IFERROR(AA121/AB121-1,"")</f>
        <v>0.000720827679782987</v>
      </c>
      <c r="F121" s="3" t="str">
        <f aca="false">IF(OR(D121="",E121=""),"n/a (new)",IF(D121&gt;=0,IF(E121&gt;=0,"Long Buildup","Short Covering"),IF(E121&gt;=0,"Short Buildup","Long Unwinding")))</f>
        <v>Long Buildup</v>
      </c>
      <c r="G121" s="6" t="n">
        <f aca="false">IFERROR(V121/X121-1,"")</f>
        <v>-0.0680660595770952</v>
      </c>
      <c r="H121" s="6" t="n">
        <f aca="false">IFERROR(AA121/AC121-1,"")</f>
        <v>0.0428615615748309</v>
      </c>
      <c r="I121" s="3" t="str">
        <f aca="false">IF(OR(G121="",H121=""),"n/a (new)",IF(G121&gt;=0,IF(H121&gt;=0,"Long Buildup","Short Covering"),IF(H121&gt;=0,"Short Buildup","Long Unwinding")))</f>
        <v>Short Buildup</v>
      </c>
      <c r="J121" s="6" t="n">
        <f aca="false">IFERROR(V121/Y121-1,"")</f>
        <v>-0.00752818961833068</v>
      </c>
      <c r="K121" s="6" t="n">
        <f aca="false">IFERROR(AA121/AD121-1,"")</f>
        <v>0.0184258220419435</v>
      </c>
      <c r="L121" s="3" t="str">
        <f aca="false">IF(OR(J121="",K121=""),"n/a (new)",IF(J121&gt;=0,IF(K121&gt;=0,"Long Buildup","Short Covering"),IF(K121&gt;=0,"Short Buildup","Long Unwinding")))</f>
        <v>Short Buildup</v>
      </c>
      <c r="M121" s="6" t="n">
        <f aca="false">IFERROR(V121/Z121-1,"")</f>
        <v>-0.0544942060757909</v>
      </c>
      <c r="N121" s="6" t="n">
        <f aca="false">IFERROR(AA121/AE121-1,"")</f>
        <v>-0.000381194409148633</v>
      </c>
      <c r="O121" s="3" t="str">
        <f aca="false">IF(OR(M121="",N121=""),"n/a (new)",IF(M121&gt;=0,IF(N121&gt;=0,"Long Buildup","Short Covering"),IF(N121&gt;=0,"Short Buildup","Long Unwinding")))</f>
        <v>Long Unwinding</v>
      </c>
      <c r="P121" s="7" t="n">
        <f aca="false">IFERROR(AF121/AG121,"")</f>
        <v>0.54945054945055</v>
      </c>
      <c r="Q121" s="7" t="n">
        <f aca="false">IFERROR(AH121/AI121,"")</f>
        <v>0.603843947217441</v>
      </c>
      <c r="V121" s="9" t="n">
        <v>301.9</v>
      </c>
      <c r="W121" s="9" t="n">
        <v>301.59</v>
      </c>
      <c r="X121" s="9" t="n">
        <v>323.95</v>
      </c>
      <c r="Y121" s="9" t="n">
        <v>304.19</v>
      </c>
      <c r="Z121" s="9" t="n">
        <v>319.3</v>
      </c>
      <c r="AA121" s="10" t="n">
        <v>70803000</v>
      </c>
      <c r="AB121" s="10" t="n">
        <v>70752000</v>
      </c>
      <c r="AC121" s="10" t="n">
        <v>67893000</v>
      </c>
      <c r="AD121" s="10" t="n">
        <v>69522000</v>
      </c>
      <c r="AE121" s="10" t="n">
        <v>70830000</v>
      </c>
      <c r="AF121" s="10" t="n">
        <v>7650000</v>
      </c>
      <c r="AG121" s="10" t="n">
        <v>13923000</v>
      </c>
      <c r="AH121" s="10" t="n">
        <v>6315000</v>
      </c>
      <c r="AI121" s="10" t="n">
        <v>10458000</v>
      </c>
    </row>
    <row r="122" customFormat="false" ht="15" hidden="false" customHeight="false" outlineLevel="0" collapsed="false">
      <c r="A122" s="3" t="n">
        <v>119</v>
      </c>
      <c r="B122" s="4" t="s">
        <v>156</v>
      </c>
      <c r="C122" s="5" t="n">
        <v>-8.63</v>
      </c>
      <c r="D122" s="6" t="n">
        <f aca="false">IFERROR(V122/W122-1,"")</f>
        <v>-0.0126742185259534</v>
      </c>
      <c r="E122" s="6" t="n">
        <f aca="false">IFERROR(AA122/AB122-1,"")</f>
        <v>0.00590119709998316</v>
      </c>
      <c r="F122" s="3" t="str">
        <f aca="false">IF(OR(D122="",E122=""),"n/a (new)",IF(D122&gt;=0,IF(E122&gt;=0,"Long Buildup","Short Covering"),IF(E122&gt;=0,"Short Buildup","Long Unwinding")))</f>
        <v>Short Buildup</v>
      </c>
      <c r="G122" s="6" t="n">
        <f aca="false">IFERROR(V122/X122-1,"")</f>
        <v>-0.0475017291464932</v>
      </c>
      <c r="H122" s="6" t="n">
        <f aca="false">IFERROR(AA122/AC122-1,"")</f>
        <v>-0.0039235328491527</v>
      </c>
      <c r="I122" s="3" t="str">
        <f aca="false">IF(OR(G122="",H122=""),"n/a (new)",IF(G122&gt;=0,IF(H122&gt;=0,"Long Buildup","Short Covering"),IF(H122&gt;=0,"Short Buildup","Long Unwinding")))</f>
        <v>Long Unwinding</v>
      </c>
      <c r="J122" s="6" t="n">
        <f aca="false">IFERROR(V122/Y122-1,"")</f>
        <v>-0.055523184200145</v>
      </c>
      <c r="K122" s="6" t="n">
        <f aca="false">IFERROR(AA122/AD122-1,"")</f>
        <v>-0.000167588402882557</v>
      </c>
      <c r="L122" s="3" t="str">
        <f aca="false">IF(OR(J122="",K122=""),"n/a (new)",IF(J122&gt;=0,IF(K122&gt;=0,"Long Buildup","Short Covering"),IF(K122&gt;=0,"Short Buildup","Long Unwinding")))</f>
        <v>Long Unwinding</v>
      </c>
      <c r="M122" s="6" t="n">
        <f aca="false">IFERROR(V122/Z122-1,"")</f>
        <v>-0.0732971172874465</v>
      </c>
      <c r="N122" s="6" t="n">
        <f aca="false">IFERROR(AA122/AE122-1,"")</f>
        <v>0.021050830053055</v>
      </c>
      <c r="O122" s="3" t="str">
        <f aca="false">IF(OR(M122="",N122=""),"n/a (new)",IF(M122&gt;=0,IF(N122&gt;=0,"Long Buildup","Short Covering"),IF(N122&gt;=0,"Short Buildup","Long Unwinding")))</f>
        <v>Short Buildup</v>
      </c>
      <c r="P122" s="7" t="n">
        <f aca="false">IFERROR(AF122/AG122,"")</f>
        <v>0.435146443514644</v>
      </c>
      <c r="Q122" s="7" t="n">
        <f aca="false">IFERROR(AH122/AI122,"")</f>
        <v>0.54541701073493</v>
      </c>
      <c r="V122" s="9" t="n">
        <v>34428.05</v>
      </c>
      <c r="W122" s="9" t="n">
        <v>34870</v>
      </c>
      <c r="X122" s="9" t="n">
        <v>36145</v>
      </c>
      <c r="Y122" s="9" t="n">
        <v>36451.98</v>
      </c>
      <c r="Z122" s="9" t="n">
        <v>37151.12</v>
      </c>
      <c r="AA122" s="10" t="n">
        <v>238640</v>
      </c>
      <c r="AB122" s="10" t="n">
        <v>237240</v>
      </c>
      <c r="AC122" s="10" t="n">
        <v>239580</v>
      </c>
      <c r="AD122" s="10" t="n">
        <v>238680</v>
      </c>
      <c r="AE122" s="10" t="n">
        <v>233720</v>
      </c>
      <c r="AF122" s="10" t="n">
        <v>33280</v>
      </c>
      <c r="AG122" s="10" t="n">
        <v>76480</v>
      </c>
      <c r="AH122" s="10" t="n">
        <v>26420</v>
      </c>
      <c r="AI122" s="10" t="n">
        <v>48440</v>
      </c>
    </row>
    <row r="123" customFormat="false" ht="15" hidden="false" customHeight="false" outlineLevel="0" collapsed="false">
      <c r="A123" s="3" t="n">
        <v>120</v>
      </c>
      <c r="B123" s="4" t="s">
        <v>157</v>
      </c>
      <c r="C123" s="5" t="n">
        <v>-8.72</v>
      </c>
      <c r="D123" s="6" t="n">
        <f aca="false">IFERROR(V123/W123-1,"")</f>
        <v>-0.0477558348294435</v>
      </c>
      <c r="E123" s="6" t="n">
        <f aca="false">IFERROR(AA123/AB123-1,"")</f>
        <v>0.0372845365975518</v>
      </c>
      <c r="F123" s="3" t="str">
        <f aca="false">IF(OR(D123="",E123=""),"n/a (new)",IF(D123&gt;=0,IF(E123&gt;=0,"Long Buildup","Short Covering"),IF(E123&gt;=0,"Short Buildup","Long Unwinding")))</f>
        <v>Short Buildup</v>
      </c>
      <c r="G123" s="6" t="n">
        <f aca="false">IFERROR(V123/X123-1,"")</f>
        <v>-0.049428294920965</v>
      </c>
      <c r="H123" s="6" t="n">
        <f aca="false">IFERROR(AA123/AC123-1,"")</f>
        <v>-0.0345849802371542</v>
      </c>
      <c r="I123" s="3" t="str">
        <f aca="false">IF(OR(G123="",H123=""),"n/a (new)",IF(G123&gt;=0,IF(H123&gt;=0,"Long Buildup","Short Covering"),IF(H123&gt;=0,"Short Buildup","Long Unwinding")))</f>
        <v>Long Unwinding</v>
      </c>
      <c r="J123" s="6" t="n">
        <f aca="false">IFERROR(V123/Y123-1,"")</f>
        <v>-0.041751729869379</v>
      </c>
      <c r="K123" s="6" t="n">
        <f aca="false">IFERROR(AA123/AD123-1,"")</f>
        <v>-0.0197131558755829</v>
      </c>
      <c r="L123" s="3" t="str">
        <f aca="false">IF(OR(J123="",K123=""),"n/a (new)",IF(J123&gt;=0,IF(K123&gt;=0,"Long Buildup","Short Covering"),IF(K123&gt;=0,"Short Buildup","Long Unwinding")))</f>
        <v>Long Unwinding</v>
      </c>
      <c r="M123" s="6" t="n">
        <f aca="false">IFERROR(V123/Z123-1,"")</f>
        <v>-0.0902229845626072</v>
      </c>
      <c r="N123" s="6" t="n">
        <f aca="false">IFERROR(AA123/AE123-1,"")</f>
        <v>-0.226769087523278</v>
      </c>
      <c r="O123" s="3" t="str">
        <f aca="false">IF(OR(M123="",N123=""),"n/a (new)",IF(M123&gt;=0,IF(N123&gt;=0,"Long Buildup","Short Covering"),IF(N123&gt;=0,"Short Buildup","Long Unwinding")))</f>
        <v>Long Unwinding</v>
      </c>
      <c r="P123" s="7" t="n">
        <f aca="false">IFERROR(AF123/AG123,"")</f>
        <v>0.558518603847483</v>
      </c>
      <c r="Q123" s="7" t="n">
        <f aca="false">IFERROR(AH123/AI123,"")</f>
        <v>0.685714285714286</v>
      </c>
      <c r="V123" s="9" t="n">
        <v>530.4</v>
      </c>
      <c r="W123" s="9" t="n">
        <v>557</v>
      </c>
      <c r="X123" s="9" t="n">
        <v>557.98</v>
      </c>
      <c r="Y123" s="9" t="n">
        <v>553.51</v>
      </c>
      <c r="Z123" s="9" t="n">
        <v>583</v>
      </c>
      <c r="AA123" s="10" t="n">
        <v>22422150</v>
      </c>
      <c r="AB123" s="10" t="n">
        <v>21616200</v>
      </c>
      <c r="AC123" s="10" t="n">
        <v>23225400</v>
      </c>
      <c r="AD123" s="10" t="n">
        <v>22873050</v>
      </c>
      <c r="AE123" s="10" t="n">
        <v>28998000</v>
      </c>
      <c r="AF123" s="10" t="n">
        <v>13090950</v>
      </c>
      <c r="AG123" s="10" t="n">
        <v>23438700</v>
      </c>
      <c r="AH123" s="10" t="n">
        <v>14320800</v>
      </c>
      <c r="AI123" s="10" t="n">
        <v>20884500</v>
      </c>
    </row>
    <row r="124" customFormat="false" ht="15" hidden="false" customHeight="false" outlineLevel="0" collapsed="false">
      <c r="A124" s="3" t="n">
        <v>121</v>
      </c>
      <c r="B124" s="4" t="s">
        <v>158</v>
      </c>
      <c r="C124" s="5" t="n">
        <v>-8.74</v>
      </c>
      <c r="D124" s="6" t="n">
        <f aca="false">IFERROR(V124/W124-1,"")</f>
        <v>-0.0095559845559845</v>
      </c>
      <c r="E124" s="6" t="n">
        <f aca="false">IFERROR(AA124/AB124-1,"")</f>
        <v>-0.154197624061345</v>
      </c>
      <c r="F124" s="3" t="str">
        <f aca="false">IF(OR(D124="",E124=""),"n/a (new)",IF(D124&gt;=0,IF(E124&gt;=0,"Long Buildup","Short Covering"),IF(E124&gt;=0,"Short Buildup","Long Unwinding")))</f>
        <v>Long Unwinding</v>
      </c>
      <c r="G124" s="6" t="n">
        <f aca="false">IFERROR(V124/X124-1,"")</f>
        <v>-0.0555044182621502</v>
      </c>
      <c r="H124" s="6" t="n">
        <f aca="false">IFERROR(AA124/AC124-1,"")</f>
        <v>-0.0223201984017636</v>
      </c>
      <c r="I124" s="3" t="str">
        <f aca="false">IF(OR(G124="",H124=""),"n/a (new)",IF(G124&gt;=0,IF(H124&gt;=0,"Long Buildup","Short Covering"),IF(H124&gt;=0,"Short Buildup","Long Unwinding")))</f>
        <v>Long Unwinding</v>
      </c>
      <c r="J124" s="6" t="n">
        <f aca="false">IFERROR(V124/Y124-1,"")</f>
        <v>-0.0114643545279384</v>
      </c>
      <c r="K124" s="6" t="n">
        <f aca="false">IFERROR(AA124/AD124-1,"")</f>
        <v>0.0461961863573817</v>
      </c>
      <c r="L124" s="3" t="str">
        <f aca="false">IF(OR(J124="",K124=""),"n/a (new)",IF(J124&gt;=0,IF(K124&gt;=0,"Long Buildup","Short Covering"),IF(K124&gt;=0,"Short Buildup","Long Unwinding")))</f>
        <v>Short Buildup</v>
      </c>
      <c r="M124" s="6" t="n">
        <f aca="false">IFERROR(V124/Z124-1,"")</f>
        <v>-0.0687902713494872</v>
      </c>
      <c r="N124" s="6" t="n">
        <f aca="false">IFERROR(AA124/AE124-1,"")</f>
        <v>-0.185802799663428</v>
      </c>
      <c r="O124" s="3" t="str">
        <f aca="false">IF(OR(M124="",N124=""),"n/a (new)",IF(M124&gt;=0,IF(N124&gt;=0,"Long Buildup","Short Covering"),IF(N124&gt;=0,"Short Buildup","Long Unwinding")))</f>
        <v>Long Unwinding</v>
      </c>
      <c r="P124" s="7" t="n">
        <f aca="false">IFERROR(AF124/AG124,"")</f>
        <v>0.673781066211345</v>
      </c>
      <c r="Q124" s="7" t="n">
        <f aca="false">IFERROR(AH124/AI124,"")</f>
        <v>0.802148612354521</v>
      </c>
      <c r="V124" s="9" t="n">
        <v>102.61</v>
      </c>
      <c r="W124" s="9" t="n">
        <v>103.6</v>
      </c>
      <c r="X124" s="9" t="n">
        <v>108.64</v>
      </c>
      <c r="Y124" s="9" t="n">
        <v>103.8</v>
      </c>
      <c r="Z124" s="9" t="n">
        <v>110.19</v>
      </c>
      <c r="AA124" s="10" t="n">
        <v>96328200</v>
      </c>
      <c r="AB124" s="10" t="n">
        <v>113889725</v>
      </c>
      <c r="AC124" s="10" t="n">
        <v>98527350</v>
      </c>
      <c r="AD124" s="10" t="n">
        <v>92074700</v>
      </c>
      <c r="AE124" s="10" t="n">
        <v>118310650</v>
      </c>
      <c r="AF124" s="10" t="n">
        <v>32141075</v>
      </c>
      <c r="AG124" s="10" t="n">
        <v>47702550</v>
      </c>
      <c r="AH124" s="10" t="n">
        <v>28380800</v>
      </c>
      <c r="AI124" s="10" t="n">
        <v>35380975</v>
      </c>
    </row>
    <row r="125" customFormat="false" ht="15" hidden="false" customHeight="false" outlineLevel="0" collapsed="false">
      <c r="A125" s="3" t="n">
        <v>122</v>
      </c>
      <c r="B125" s="4" t="s">
        <v>159</v>
      </c>
      <c r="C125" s="5" t="n">
        <v>-8.83</v>
      </c>
      <c r="D125" s="6" t="n">
        <f aca="false">IFERROR(V125/W125-1,"")</f>
        <v>-0.0213350985284384</v>
      </c>
      <c r="E125" s="6" t="n">
        <f aca="false">IFERROR(AA125/AB125-1,"")</f>
        <v>0.034922955797998</v>
      </c>
      <c r="F125" s="3" t="str">
        <f aca="false">IF(OR(D125="",E125=""),"n/a (new)",IF(D125&gt;=0,IF(E125&gt;=0,"Long Buildup","Short Covering"),IF(E125&gt;=0,"Short Buildup","Long Unwinding")))</f>
        <v>Short Buildup</v>
      </c>
      <c r="G125" s="6" t="n">
        <f aca="false">IFERROR(V125/X125-1,"")</f>
        <v>-0.0201876019575856</v>
      </c>
      <c r="H125" s="6" t="n">
        <f aca="false">IFERROR(AA125/AC125-1,"")</f>
        <v>0.0231846992104972</v>
      </c>
      <c r="I125" s="3" t="str">
        <f aca="false">IF(OR(G125="",H125=""),"n/a (new)",IF(G125&gt;=0,IF(H125&gt;=0,"Long Buildup","Short Covering"),IF(H125&gt;=0,"Short Buildup","Long Unwinding")))</f>
        <v>Short Buildup</v>
      </c>
      <c r="J125" s="6" t="n">
        <f aca="false">IFERROR(V125/Y125-1,"")</f>
        <v>-0.00770295107696761</v>
      </c>
      <c r="K125" s="6" t="n">
        <f aca="false">IFERROR(AA125/AD125-1,"")</f>
        <v>-0.0118664089347079</v>
      </c>
      <c r="L125" s="3" t="str">
        <f aca="false">IF(OR(J125="",K125=""),"n/a (new)",IF(J125&gt;=0,IF(K125&gt;=0,"Long Buildup","Short Covering"),IF(K125&gt;=0,"Short Buildup","Long Unwinding")))</f>
        <v>Long Unwinding</v>
      </c>
      <c r="M125" s="6" t="n">
        <f aca="false">IFERROR(V125/Z125-1,"")</f>
        <v>-0.0997615913891867</v>
      </c>
      <c r="N125" s="6" t="n">
        <f aca="false">IFERROR(AA125/AE125-1,"")</f>
        <v>-0.0708371200646268</v>
      </c>
      <c r="O125" s="3" t="str">
        <f aca="false">IF(OR(M125="",N125=""),"n/a (new)",IF(M125&gt;=0,IF(N125&gt;=0,"Long Buildup","Short Covering"),IF(N125&gt;=0,"Short Buildup","Long Unwinding")))</f>
        <v>Long Unwinding</v>
      </c>
      <c r="P125" s="7" t="n">
        <f aca="false">IFERROR(AF125/AG125,"")</f>
        <v>0.885648503453569</v>
      </c>
      <c r="Q125" s="7" t="n">
        <f aca="false">IFERROR(AH125/AI125,"")</f>
        <v>0.885047281323877</v>
      </c>
      <c r="V125" s="9" t="n">
        <v>1922</v>
      </c>
      <c r="W125" s="9" t="n">
        <v>1963.9</v>
      </c>
      <c r="X125" s="9" t="n">
        <v>1961.6</v>
      </c>
      <c r="Y125" s="9" t="n">
        <v>1936.92</v>
      </c>
      <c r="Z125" s="9" t="n">
        <v>2134.99</v>
      </c>
      <c r="AA125" s="10" t="n">
        <v>7821275</v>
      </c>
      <c r="AB125" s="10" t="n">
        <v>7557350</v>
      </c>
      <c r="AC125" s="10" t="n">
        <v>7644050</v>
      </c>
      <c r="AD125" s="10" t="n">
        <v>7915200</v>
      </c>
      <c r="AE125" s="10" t="n">
        <v>8417550</v>
      </c>
      <c r="AF125" s="10" t="n">
        <v>2942700</v>
      </c>
      <c r="AG125" s="10" t="n">
        <v>3322650</v>
      </c>
      <c r="AH125" s="10" t="n">
        <v>2545750</v>
      </c>
      <c r="AI125" s="10" t="n">
        <v>2876400</v>
      </c>
    </row>
    <row r="126" customFormat="false" ht="15" hidden="false" customHeight="false" outlineLevel="0" collapsed="false">
      <c r="A126" s="3" t="n">
        <v>123</v>
      </c>
      <c r="B126" s="4" t="s">
        <v>160</v>
      </c>
      <c r="C126" s="5" t="n">
        <v>-8.87</v>
      </c>
      <c r="D126" s="6" t="n">
        <f aca="false">IFERROR(V126/W126-1,"")</f>
        <v>-0.0121472392638037</v>
      </c>
      <c r="E126" s="6" t="n">
        <f aca="false">IFERROR(AA126/AB126-1,"")</f>
        <v>0.0118207786878777</v>
      </c>
      <c r="F126" s="3" t="str">
        <f aca="false">IF(OR(D126="",E126=""),"n/a (new)",IF(D126&gt;=0,IF(E126&gt;=0,"Long Buildup","Short Covering"),IF(E126&gt;=0,"Short Buildup","Long Unwinding")))</f>
        <v>Short Buildup</v>
      </c>
      <c r="G126" s="6" t="n">
        <f aca="false">IFERROR(V126/X126-1,"")</f>
        <v>-0.0351150527325024</v>
      </c>
      <c r="H126" s="6" t="n">
        <f aca="false">IFERROR(AA126/AC126-1,"")</f>
        <v>0.0145266955723644</v>
      </c>
      <c r="I126" s="3" t="str">
        <f aca="false">IF(OR(G126="",H126=""),"n/a (new)",IF(G126&gt;=0,IF(H126&gt;=0,"Long Buildup","Short Covering"),IF(H126&gt;=0,"Short Buildup","Long Unwinding")))</f>
        <v>Short Buildup</v>
      </c>
      <c r="J126" s="6" t="n">
        <f aca="false">IFERROR(V126/Y126-1,"")</f>
        <v>-0.0166117014779529</v>
      </c>
      <c r="K126" s="6" t="n">
        <f aca="false">IFERROR(AA126/AD126-1,"")</f>
        <v>-0.0167625182117935</v>
      </c>
      <c r="L126" s="3" t="str">
        <f aca="false">IF(OR(J126="",K126=""),"n/a (new)",IF(J126&gt;=0,IF(K126&gt;=0,"Long Buildup","Short Covering"),IF(K126&gt;=0,"Short Buildup","Long Unwinding")))</f>
        <v>Long Unwinding</v>
      </c>
      <c r="M126" s="6" t="n">
        <f aca="false">IFERROR(V126/Z126-1,"")</f>
        <v>-0.0594845914815074</v>
      </c>
      <c r="N126" s="6" t="n">
        <f aca="false">IFERROR(AA126/AE126-1,"")</f>
        <v>-0.114205974191053</v>
      </c>
      <c r="O126" s="3" t="str">
        <f aca="false">IF(OR(M126="",N126=""),"n/a (new)",IF(M126&gt;=0,IF(N126&gt;=0,"Long Buildup","Short Covering"),IF(N126&gt;=0,"Short Buildup","Long Unwinding")))</f>
        <v>Long Unwinding</v>
      </c>
      <c r="P126" s="7" t="n">
        <f aca="false">IFERROR(AF126/AG126,"")</f>
        <v>0.473567530695771</v>
      </c>
      <c r="Q126" s="7" t="n">
        <f aca="false">IFERROR(AH126/AI126,"")</f>
        <v>0.462807850981373</v>
      </c>
      <c r="V126" s="9" t="n">
        <v>402.55</v>
      </c>
      <c r="W126" s="9" t="n">
        <v>407.5</v>
      </c>
      <c r="X126" s="9" t="n">
        <v>417.2</v>
      </c>
      <c r="Y126" s="9" t="n">
        <v>409.35</v>
      </c>
      <c r="Z126" s="9" t="n">
        <v>428.01</v>
      </c>
      <c r="AA126" s="10" t="n">
        <v>86551200</v>
      </c>
      <c r="AB126" s="10" t="n">
        <v>85540050</v>
      </c>
      <c r="AC126" s="10" t="n">
        <v>85311900</v>
      </c>
      <c r="AD126" s="10" t="n">
        <v>88026750</v>
      </c>
      <c r="AE126" s="10" t="n">
        <v>97710300</v>
      </c>
      <c r="AF126" s="10" t="n">
        <v>18744750</v>
      </c>
      <c r="AG126" s="10" t="n">
        <v>39582000</v>
      </c>
      <c r="AH126" s="10" t="n">
        <v>14993100</v>
      </c>
      <c r="AI126" s="10" t="n">
        <v>32395950</v>
      </c>
    </row>
    <row r="127" customFormat="false" ht="15" hidden="false" customHeight="false" outlineLevel="0" collapsed="false">
      <c r="A127" s="3" t="n">
        <v>124</v>
      </c>
      <c r="B127" s="4" t="s">
        <v>161</v>
      </c>
      <c r="C127" s="5" t="n">
        <v>-8.91</v>
      </c>
      <c r="D127" s="6" t="n">
        <f aca="false">IFERROR(V127/W127-1,"")</f>
        <v>-0.0134666666666667</v>
      </c>
      <c r="E127" s="6" t="n">
        <f aca="false">IFERROR(AA127/AB127-1,"")</f>
        <v>-0.0560914612361557</v>
      </c>
      <c r="F127" s="3" t="str">
        <f aca="false">IF(OR(D127="",E127=""),"n/a (new)",IF(D127&gt;=0,IF(E127&gt;=0,"Long Buildup","Short Covering"),IF(E127&gt;=0,"Short Buildup","Long Unwinding")))</f>
        <v>Long Unwinding</v>
      </c>
      <c r="G127" s="6" t="n">
        <f aca="false">IFERROR(V127/X127-1,"")</f>
        <v>-0.0408703703703704</v>
      </c>
      <c r="H127" s="6" t="n">
        <f aca="false">IFERROR(AA127/AC127-1,"")</f>
        <v>-0.00484956918875656</v>
      </c>
      <c r="I127" s="3" t="str">
        <f aca="false">IF(OR(G127="",H127=""),"n/a (new)",IF(G127&gt;=0,IF(H127&gt;=0,"Long Buildup","Short Covering"),IF(H127&gt;=0,"Short Buildup","Long Unwinding")))</f>
        <v>Long Unwinding</v>
      </c>
      <c r="J127" s="6" t="n">
        <f aca="false">IFERROR(V127/Y127-1,"")</f>
        <v>-0.0260446049118057</v>
      </c>
      <c r="K127" s="6" t="n">
        <f aca="false">IFERROR(AA127/AD127-1,"")</f>
        <v>0.0305216967333009</v>
      </c>
      <c r="L127" s="3" t="str">
        <f aca="false">IF(OR(J127="",K127=""),"n/a (new)",IF(J127&gt;=0,IF(K127&gt;=0,"Long Buildup","Short Covering"),IF(K127&gt;=0,"Short Buildup","Long Unwinding")))</f>
        <v>Short Buildup</v>
      </c>
      <c r="M127" s="6" t="n">
        <f aca="false">IFERROR(V127/Z127-1,"")</f>
        <v>-0.122895850973751</v>
      </c>
      <c r="N127" s="6" t="n">
        <f aca="false">IFERROR(AA127/AE127-1,"")</f>
        <v>-0.199242280734988</v>
      </c>
      <c r="O127" s="3" t="str">
        <f aca="false">IF(OR(M127="",N127=""),"n/a (new)",IF(M127&gt;=0,IF(N127&gt;=0,"Long Buildup","Short Covering"),IF(N127&gt;=0,"Short Buildup","Long Unwinding")))</f>
        <v>Long Unwinding</v>
      </c>
      <c r="P127" s="7" t="n">
        <f aca="false">IFERROR(AF127/AG127,"")</f>
        <v>0.43527606123026</v>
      </c>
      <c r="Q127" s="7" t="n">
        <f aca="false">IFERROR(AH127/AI127,"")</f>
        <v>0.525830491347733</v>
      </c>
      <c r="V127" s="9" t="n">
        <v>517.93</v>
      </c>
      <c r="W127" s="9" t="n">
        <v>525</v>
      </c>
      <c r="X127" s="9" t="n">
        <v>540</v>
      </c>
      <c r="Y127" s="9" t="n">
        <v>531.78</v>
      </c>
      <c r="Z127" s="9" t="n">
        <v>590.5</v>
      </c>
      <c r="AA127" s="10" t="n">
        <v>25891600</v>
      </c>
      <c r="AB127" s="10" t="n">
        <v>27430200</v>
      </c>
      <c r="AC127" s="10" t="n">
        <v>26017775</v>
      </c>
      <c r="AD127" s="10" t="n">
        <v>25124750</v>
      </c>
      <c r="AE127" s="10" t="n">
        <v>32333875</v>
      </c>
      <c r="AF127" s="10" t="n">
        <v>13201825</v>
      </c>
      <c r="AG127" s="10" t="n">
        <v>30329775</v>
      </c>
      <c r="AH127" s="10" t="n">
        <v>10199350</v>
      </c>
      <c r="AI127" s="10" t="n">
        <v>19396650</v>
      </c>
    </row>
    <row r="128" customFormat="false" ht="15" hidden="false" customHeight="false" outlineLevel="0" collapsed="false">
      <c r="A128" s="3" t="n">
        <v>125</v>
      </c>
      <c r="B128" s="4" t="s">
        <v>162</v>
      </c>
      <c r="C128" s="5" t="n">
        <v>-8.91</v>
      </c>
      <c r="D128" s="6" t="n">
        <f aca="false">IFERROR(V128/W128-1,"")</f>
        <v>-0.00274374379109699</v>
      </c>
      <c r="E128" s="6" t="n">
        <f aca="false">IFERROR(AA128/AB128-1,"")</f>
        <v>-0.0180264105642257</v>
      </c>
      <c r="F128" s="3" t="str">
        <f aca="false">IF(OR(D128="",E128=""),"n/a (new)",IF(D128&gt;=0,IF(E128&gt;=0,"Long Buildup","Short Covering"),IF(E128&gt;=0,"Short Buildup","Long Unwinding")))</f>
        <v>Long Unwinding</v>
      </c>
      <c r="G128" s="6" t="n">
        <f aca="false">IFERROR(V128/X128-1,"")</f>
        <v>-0.0251560693641618</v>
      </c>
      <c r="H128" s="6" t="n">
        <f aca="false">IFERROR(AA128/AC128-1,"")</f>
        <v>-0.00742624717268692</v>
      </c>
      <c r="I128" s="3" t="str">
        <f aca="false">IF(OR(G128="",H128=""),"n/a (new)",IF(G128&gt;=0,IF(H128&gt;=0,"Long Buildup","Short Covering"),IF(H128&gt;=0,"Short Buildup","Long Unwinding")))</f>
        <v>Long Unwinding</v>
      </c>
      <c r="J128" s="6" t="n">
        <f aca="false">IFERROR(V128/Y128-1,"")</f>
        <v>-0.000995166334944564</v>
      </c>
      <c r="K128" s="6" t="n">
        <f aca="false">IFERROR(AA128/AD128-1,"")</f>
        <v>0.0512960240183429</v>
      </c>
      <c r="L128" s="3" t="str">
        <f aca="false">IF(OR(J128="",K128=""),"n/a (new)",IF(J128&gt;=0,IF(K128&gt;=0,"Long Buildup","Short Covering"),IF(K128&gt;=0,"Short Buildup","Long Unwinding")))</f>
        <v>Short Buildup</v>
      </c>
      <c r="M128" s="6" t="n">
        <f aca="false">IFERROR(V128/Z128-1,"")</f>
        <v>-0.0861366395006069</v>
      </c>
      <c r="N128" s="6" t="n">
        <f aca="false">IFERROR(AA128/AE128-1,"")</f>
        <v>0.0159272691142134</v>
      </c>
      <c r="O128" s="3" t="str">
        <f aca="false">IF(OR(M128="",N128=""),"n/a (new)",IF(M128&gt;=0,IF(N128&gt;=0,"Long Buildup","Short Covering"),IF(N128&gt;=0,"Short Buildup","Long Unwinding")))</f>
        <v>Short Buildup</v>
      </c>
      <c r="P128" s="7" t="n">
        <f aca="false">IFERROR(AF128/AG128,"")</f>
        <v>0.659989218328841</v>
      </c>
      <c r="Q128" s="7" t="n">
        <f aca="false">IFERROR(AH128/AI128,"")</f>
        <v>0.715900676309424</v>
      </c>
      <c r="V128" s="9" t="n">
        <v>210.81</v>
      </c>
      <c r="W128" s="9" t="n">
        <v>211.39</v>
      </c>
      <c r="X128" s="9" t="n">
        <v>216.25</v>
      </c>
      <c r="Y128" s="9" t="n">
        <v>211.02</v>
      </c>
      <c r="Z128" s="9" t="n">
        <v>230.68</v>
      </c>
      <c r="AA128" s="10" t="n">
        <v>240282800</v>
      </c>
      <c r="AB128" s="10" t="n">
        <v>244693750</v>
      </c>
      <c r="AC128" s="10" t="n">
        <v>242080550</v>
      </c>
      <c r="AD128" s="10" t="n">
        <v>228558650</v>
      </c>
      <c r="AE128" s="10" t="n">
        <v>236515750</v>
      </c>
      <c r="AF128" s="10" t="n">
        <v>71926450</v>
      </c>
      <c r="AG128" s="10" t="n">
        <v>108981250</v>
      </c>
      <c r="AH128" s="10" t="n">
        <v>68159400</v>
      </c>
      <c r="AI128" s="10" t="n">
        <v>95207900</v>
      </c>
    </row>
    <row r="129" customFormat="false" ht="15" hidden="false" customHeight="false" outlineLevel="0" collapsed="false">
      <c r="A129" s="3" t="n">
        <v>126</v>
      </c>
      <c r="B129" s="4" t="s">
        <v>163</v>
      </c>
      <c r="C129" s="5" t="n">
        <v>-9.11</v>
      </c>
      <c r="D129" s="6" t="n">
        <f aca="false">IFERROR(V129/W129-1,"")</f>
        <v>-0.00697213083026915</v>
      </c>
      <c r="E129" s="6" t="n">
        <f aca="false">IFERROR(AA129/AB129-1,"")</f>
        <v>0.0102812995245642</v>
      </c>
      <c r="F129" s="3" t="str">
        <f aca="false">IF(OR(D129="",E129=""),"n/a (new)",IF(D129&gt;=0,IF(E129&gt;=0,"Long Buildup","Short Covering"),IF(E129&gt;=0,"Short Buildup","Long Unwinding")))</f>
        <v>Short Buildup</v>
      </c>
      <c r="G129" s="6" t="n">
        <f aca="false">IFERROR(V129/X129-1,"")</f>
        <v>-0.0465707224617215</v>
      </c>
      <c r="H129" s="6" t="n">
        <f aca="false">IFERROR(AA129/AC129-1,"")</f>
        <v>0.0480466903680565</v>
      </c>
      <c r="I129" s="3" t="str">
        <f aca="false">IF(OR(G129="",H129=""),"n/a (new)",IF(G129&gt;=0,IF(H129&gt;=0,"Long Buildup","Short Covering"),IF(H129&gt;=0,"Short Buildup","Long Unwinding")))</f>
        <v>Short Buildup</v>
      </c>
      <c r="J129" s="6" t="n">
        <f aca="false">IFERROR(V129/Y129-1,"")</f>
        <v>0.00607352941176464</v>
      </c>
      <c r="K129" s="6" t="n">
        <f aca="false">IFERROR(AA129/AD129-1,"")</f>
        <v>0.0825974356797148</v>
      </c>
      <c r="L129" s="3" t="str">
        <f aca="false">IF(OR(J129="",K129=""),"n/a (new)",IF(J129&gt;=0,IF(K129&gt;=0,"Long Buildup","Short Covering"),IF(K129&gt;=0,"Short Buildup","Long Unwinding")))</f>
        <v>Long Buildup</v>
      </c>
      <c r="M129" s="6" t="n">
        <f aca="false">IFERROR(V129/Z129-1,"")</f>
        <v>-0.0649235269193444</v>
      </c>
      <c r="N129" s="6" t="n">
        <f aca="false">IFERROR(AA129/AE129-1,"")</f>
        <v>0.25215448451963</v>
      </c>
      <c r="O129" s="3" t="str">
        <f aca="false">IF(OR(M129="",N129=""),"n/a (new)",IF(M129&gt;=0,IF(N129&gt;=0,"Long Buildup","Short Covering"),IF(N129&gt;=0,"Short Buildup","Long Unwinding")))</f>
        <v>Short Buildup</v>
      </c>
      <c r="P129" s="7" t="n">
        <f aca="false">IFERROR(AF129/AG129,"")</f>
        <v>0.580671580671581</v>
      </c>
      <c r="Q129" s="7" t="n">
        <f aca="false">IFERROR(AH129/AI129,"")</f>
        <v>0.496055790556762</v>
      </c>
      <c r="V129" s="9" t="n">
        <v>2052.39</v>
      </c>
      <c r="W129" s="9" t="n">
        <v>2066.8</v>
      </c>
      <c r="X129" s="9" t="n">
        <v>2152.64</v>
      </c>
      <c r="Y129" s="9" t="n">
        <v>2040</v>
      </c>
      <c r="Z129" s="9" t="n">
        <v>2194.89</v>
      </c>
      <c r="AA129" s="10" t="n">
        <v>17849650</v>
      </c>
      <c r="AB129" s="10" t="n">
        <v>17668000</v>
      </c>
      <c r="AC129" s="10" t="n">
        <v>17031350</v>
      </c>
      <c r="AD129" s="10" t="n">
        <v>16487800</v>
      </c>
      <c r="AE129" s="10" t="n">
        <v>14255150</v>
      </c>
      <c r="AF129" s="10" t="n">
        <v>1737050</v>
      </c>
      <c r="AG129" s="10" t="n">
        <v>2991450</v>
      </c>
      <c r="AH129" s="10" t="n">
        <v>1518650</v>
      </c>
      <c r="AI129" s="10" t="n">
        <v>3061450</v>
      </c>
    </row>
    <row r="130" customFormat="false" ht="15" hidden="false" customHeight="false" outlineLevel="0" collapsed="false">
      <c r="A130" s="3" t="n">
        <v>127</v>
      </c>
      <c r="B130" s="4" t="s">
        <v>164</v>
      </c>
      <c r="C130" s="5" t="n">
        <v>-9.12</v>
      </c>
      <c r="D130" s="6" t="n">
        <f aca="false">IFERROR(V130/W130-1,"")</f>
        <v>-0.00432729961627476</v>
      </c>
      <c r="E130" s="6" t="n">
        <f aca="false">IFERROR(AA130/AB130-1,"")</f>
        <v>-0.0131778667034635</v>
      </c>
      <c r="F130" s="3" t="str">
        <f aca="false">IF(OR(D130="",E130=""),"n/a (new)",IF(D130&gt;=0,IF(E130&gt;=0,"Long Buildup","Short Covering"),IF(E130&gt;=0,"Short Buildup","Long Unwinding")))</f>
        <v>Long Unwinding</v>
      </c>
      <c r="G130" s="6" t="n">
        <f aca="false">IFERROR(V130/X130-1,"")</f>
        <v>5.71310542438752E-005</v>
      </c>
      <c r="H130" s="6" t="n">
        <f aca="false">IFERROR(AA130/AC130-1,"")</f>
        <v>-0.023285987435127</v>
      </c>
      <c r="I130" s="3" t="str">
        <f aca="false">IF(OR(G130="",H130=""),"n/a (new)",IF(G130&gt;=0,IF(H130&gt;=0,"Long Buildup","Short Covering"),IF(H130&gt;=0,"Short Buildup","Long Unwinding")))</f>
        <v>Short Covering</v>
      </c>
      <c r="J130" s="6" t="n">
        <f aca="false">IFERROR(V130/Y130-1,"")</f>
        <v>-0.043986052178297</v>
      </c>
      <c r="K130" s="6" t="n">
        <f aca="false">IFERROR(AA130/AD130-1,"")</f>
        <v>0.0609747051405682</v>
      </c>
      <c r="L130" s="3" t="str">
        <f aca="false">IF(OR(J130="",K130=""),"n/a (new)",IF(J130&gt;=0,IF(K130&gt;=0,"Long Buildup","Short Covering"),IF(K130&gt;=0,"Short Buildup","Long Unwinding")))</f>
        <v>Short Buildup</v>
      </c>
      <c r="M130" s="6" t="n">
        <f aca="false">IFERROR(V130/Z130-1,"")</f>
        <v>-0.0824156549018342</v>
      </c>
      <c r="N130" s="6" t="n">
        <f aca="false">IFERROR(AA130/AE130-1,"")</f>
        <v>0.31003846858399</v>
      </c>
      <c r="O130" s="3" t="str">
        <f aca="false">IF(OR(M130="",N130=""),"n/a (new)",IF(M130&gt;=0,IF(N130&gt;=0,"Long Buildup","Short Covering"),IF(N130&gt;=0,"Short Buildup","Long Unwinding")))</f>
        <v>Short Buildup</v>
      </c>
      <c r="P130" s="7" t="n">
        <f aca="false">IFERROR(AF130/AG130,"")</f>
        <v>0.49818132830392</v>
      </c>
      <c r="Q130" s="7" t="n">
        <f aca="false">IFERROR(AH130/AI130,"")</f>
        <v>0.605371900826446</v>
      </c>
      <c r="V130" s="9" t="n">
        <v>2275.6</v>
      </c>
      <c r="W130" s="9" t="n">
        <v>2285.49</v>
      </c>
      <c r="X130" s="9" t="n">
        <v>2275.47</v>
      </c>
      <c r="Y130" s="9" t="n">
        <v>2380.3</v>
      </c>
      <c r="Z130" s="9" t="n">
        <v>2479.99</v>
      </c>
      <c r="AA130" s="10" t="n">
        <v>3575750</v>
      </c>
      <c r="AB130" s="10" t="n">
        <v>3623500</v>
      </c>
      <c r="AC130" s="10" t="n">
        <v>3661000</v>
      </c>
      <c r="AD130" s="10" t="n">
        <v>3370250</v>
      </c>
      <c r="AE130" s="10" t="n">
        <v>2729500</v>
      </c>
      <c r="AF130" s="10" t="n">
        <v>924500</v>
      </c>
      <c r="AG130" s="10" t="n">
        <v>1855750</v>
      </c>
      <c r="AH130" s="10" t="n">
        <v>586000</v>
      </c>
      <c r="AI130" s="10" t="n">
        <v>968000</v>
      </c>
    </row>
    <row r="131" customFormat="false" ht="15" hidden="false" customHeight="false" outlineLevel="0" collapsed="false">
      <c r="A131" s="3" t="n">
        <v>128</v>
      </c>
      <c r="B131" s="4" t="s">
        <v>165</v>
      </c>
      <c r="C131" s="5" t="n">
        <v>-9.19</v>
      </c>
      <c r="D131" s="6" t="n">
        <f aca="false">IFERROR(V131/W131-1,"")</f>
        <v>0.00870939149870886</v>
      </c>
      <c r="E131" s="6" t="n">
        <f aca="false">IFERROR(AA131/AB131-1,"")</f>
        <v>-0.031009037393251</v>
      </c>
      <c r="F131" s="3" t="str">
        <f aca="false">IF(OR(D131="",E131=""),"n/a (new)",IF(D131&gt;=0,IF(E131&gt;=0,"Long Buildup","Short Covering"),IF(E131&gt;=0,"Short Buildup","Long Unwinding")))</f>
        <v>Short Covering</v>
      </c>
      <c r="G131" s="6" t="n">
        <f aca="false">IFERROR(V131/X131-1,"")</f>
        <v>-0.0260465116279069</v>
      </c>
      <c r="H131" s="6" t="n">
        <f aca="false">IFERROR(AA131/AC131-1,"")</f>
        <v>0.230469572541588</v>
      </c>
      <c r="I131" s="3" t="str">
        <f aca="false">IF(OR(G131="",H131=""),"n/a (new)",IF(G131&gt;=0,IF(H131&gt;=0,"Long Buildup","Short Covering"),IF(H131&gt;=0,"Short Buildup","Long Unwinding")))</f>
        <v>Short Buildup</v>
      </c>
      <c r="J131" s="6" t="n">
        <f aca="false">IFERROR(V131/Y131-1,"")</f>
        <v>0.00566708289309403</v>
      </c>
      <c r="K131" s="6" t="n">
        <f aca="false">IFERROR(AA131/AD131-1,"")</f>
        <v>0.319223388644317</v>
      </c>
      <c r="L131" s="3" t="str">
        <f aca="false">IF(OR(J131="",K131=""),"n/a (new)",IF(J131&gt;=0,IF(K131&gt;=0,"Long Buildup","Short Covering"),IF(K131&gt;=0,"Short Buildup","Long Unwinding")))</f>
        <v>Long Buildup</v>
      </c>
      <c r="M131" s="6" t="n">
        <f aca="false">IFERROR(V131/Z131-1,"")</f>
        <v>-0.0246765223709583</v>
      </c>
      <c r="N131" s="6" t="n">
        <f aca="false">IFERROR(AA131/AE131-1,"")</f>
        <v>0.538775510204082</v>
      </c>
      <c r="O131" s="3" t="str">
        <f aca="false">IF(OR(M131="",N131=""),"n/a (new)",IF(M131&gt;=0,IF(N131&gt;=0,"Long Buildup","Short Covering"),IF(N131&gt;=0,"Short Buildup","Long Unwinding")))</f>
        <v>Short Buildup</v>
      </c>
      <c r="P131" s="7" t="n">
        <f aca="false">IFERROR(AF131/AG131,"")</f>
        <v>0.58961038961039</v>
      </c>
      <c r="Q131" s="7" t="n">
        <f aca="false">IFERROR(AH131/AI131,"")</f>
        <v>0.631284916201117</v>
      </c>
      <c r="V131" s="9" t="n">
        <v>1047</v>
      </c>
      <c r="W131" s="9" t="n">
        <v>1037.96</v>
      </c>
      <c r="X131" s="9" t="n">
        <v>1075</v>
      </c>
      <c r="Y131" s="9" t="n">
        <v>1041.1</v>
      </c>
      <c r="Z131" s="9" t="n">
        <v>1073.49</v>
      </c>
      <c r="AA131" s="10" t="n">
        <v>5843500</v>
      </c>
      <c r="AB131" s="10" t="n">
        <v>6030500</v>
      </c>
      <c r="AC131" s="10" t="n">
        <v>4749000</v>
      </c>
      <c r="AD131" s="10" t="n">
        <v>4429500</v>
      </c>
      <c r="AE131" s="10" t="n">
        <v>3797500</v>
      </c>
      <c r="AF131" s="10" t="n">
        <v>1589000</v>
      </c>
      <c r="AG131" s="10" t="n">
        <v>2695000</v>
      </c>
      <c r="AH131" s="10" t="n">
        <v>1299500</v>
      </c>
      <c r="AI131" s="10" t="n">
        <v>2058500</v>
      </c>
    </row>
    <row r="132" customFormat="false" ht="15" hidden="false" customHeight="false" outlineLevel="0" collapsed="false">
      <c r="A132" s="3" t="n">
        <v>129</v>
      </c>
      <c r="B132" s="4" t="s">
        <v>166</v>
      </c>
      <c r="C132" s="5" t="n">
        <v>-9.19</v>
      </c>
      <c r="D132" s="6" t="n">
        <f aca="false">IFERROR(V132/W132-1,"")</f>
        <v>0.00169095339931369</v>
      </c>
      <c r="E132" s="6" t="n">
        <f aca="false">IFERROR(AA132/AB132-1,"")</f>
        <v>-0.00882581752823453</v>
      </c>
      <c r="F132" s="3" t="str">
        <f aca="false">IF(OR(D132="",E132=""),"n/a (new)",IF(D132&gt;=0,IF(E132&gt;=0,"Long Buildup","Short Covering"),IF(E132&gt;=0,"Short Buildup","Long Unwinding")))</f>
        <v>Short Covering</v>
      </c>
      <c r="G132" s="6" t="n">
        <f aca="false">IFERROR(V132/X132-1,"")</f>
        <v>-0.0664225456568092</v>
      </c>
      <c r="H132" s="6" t="n">
        <f aca="false">IFERROR(AA132/AC132-1,"")</f>
        <v>-0.0353254484217123</v>
      </c>
      <c r="I132" s="3" t="str">
        <f aca="false">IF(OR(G132="",H132=""),"n/a (new)",IF(G132&gt;=0,IF(H132&gt;=0,"Long Buildup","Short Covering"),IF(H132&gt;=0,"Short Buildup","Long Unwinding")))</f>
        <v>Long Unwinding</v>
      </c>
      <c r="J132" s="6" t="n">
        <f aca="false">IFERROR(V132/Y132-1,"")</f>
        <v>-0.0143388470196731</v>
      </c>
      <c r="K132" s="6" t="n">
        <f aca="false">IFERROR(AA132/AD132-1,"")</f>
        <v>0.0577424064584466</v>
      </c>
      <c r="L132" s="3" t="str">
        <f aca="false">IF(OR(J132="",K132=""),"n/a (new)",IF(J132&gt;=0,IF(K132&gt;=0,"Long Buildup","Short Covering"),IF(K132&gt;=0,"Short Buildup","Long Unwinding")))</f>
        <v>Short Buildup</v>
      </c>
      <c r="M132" s="6" t="n">
        <f aca="false">IFERROR(V132/Z132-1,"")</f>
        <v>-0.0928703328379048</v>
      </c>
      <c r="N132" s="6" t="n">
        <f aca="false">IFERROR(AA132/AE132-1,"")</f>
        <v>0.0234903047091413</v>
      </c>
      <c r="O132" s="3" t="str">
        <f aca="false">IF(OR(M132="",N132=""),"n/a (new)",IF(M132&gt;=0,IF(N132&gt;=0,"Long Buildup","Short Covering"),IF(N132&gt;=0,"Short Buildup","Long Unwinding")))</f>
        <v>Short Buildup</v>
      </c>
      <c r="P132" s="7" t="n">
        <f aca="false">IFERROR(AF132/AG132,"")</f>
        <v>0.484721471065441</v>
      </c>
      <c r="Q132" s="7" t="n">
        <f aca="false">IFERROR(AH132/AI132,"")</f>
        <v>0.694744218640505</v>
      </c>
      <c r="V132" s="9" t="n">
        <v>201.41</v>
      </c>
      <c r="W132" s="9" t="n">
        <v>201.07</v>
      </c>
      <c r="X132" s="9" t="n">
        <v>215.74</v>
      </c>
      <c r="Y132" s="9" t="n">
        <v>204.34</v>
      </c>
      <c r="Z132" s="9" t="n">
        <v>222.03</v>
      </c>
      <c r="AA132" s="10" t="n">
        <v>79438200</v>
      </c>
      <c r="AB132" s="10" t="n">
        <v>80145550</v>
      </c>
      <c r="AC132" s="10" t="n">
        <v>82347150</v>
      </c>
      <c r="AD132" s="10" t="n">
        <v>75101650</v>
      </c>
      <c r="AE132" s="10" t="n">
        <v>77615000</v>
      </c>
      <c r="AF132" s="10" t="n">
        <v>15415500</v>
      </c>
      <c r="AG132" s="10" t="n">
        <v>31802800</v>
      </c>
      <c r="AH132" s="10" t="n">
        <v>10657550</v>
      </c>
      <c r="AI132" s="10" t="n">
        <v>15340250</v>
      </c>
    </row>
    <row r="133" customFormat="false" ht="15" hidden="false" customHeight="false" outlineLevel="0" collapsed="false">
      <c r="A133" s="3" t="n">
        <v>130</v>
      </c>
      <c r="B133" s="4" t="s">
        <v>167</v>
      </c>
      <c r="C133" s="5" t="n">
        <v>-9.39</v>
      </c>
      <c r="D133" s="6" t="n">
        <f aca="false">IFERROR(V133/W133-1,"")</f>
        <v>-0.00349372717166907</v>
      </c>
      <c r="E133" s="6" t="n">
        <f aca="false">IFERROR(AA133/AB133-1,"")</f>
        <v>-0.0302035303432537</v>
      </c>
      <c r="F133" s="3" t="str">
        <f aca="false">IF(OR(D133="",E133=""),"n/a (new)",IF(D133&gt;=0,IF(E133&gt;=0,"Long Buildup","Short Covering"),IF(E133&gt;=0,"Short Buildup","Long Unwinding")))</f>
        <v>Long Unwinding</v>
      </c>
      <c r="G133" s="6" t="n">
        <f aca="false">IFERROR(V133/X133-1,"")</f>
        <v>-0.036468330134357</v>
      </c>
      <c r="H133" s="6" t="n">
        <f aca="false">IFERROR(AA133/AC133-1,"")</f>
        <v>-0.0062993629053425</v>
      </c>
      <c r="I133" s="3" t="str">
        <f aca="false">IF(OR(G133="",H133=""),"n/a (new)",IF(G133&gt;=0,IF(H133&gt;=0,"Long Buildup","Short Covering"),IF(H133&gt;=0,"Short Buildup","Long Unwinding")))</f>
        <v>Long Unwinding</v>
      </c>
      <c r="J133" s="6" t="n">
        <f aca="false">IFERROR(V133/Y133-1,"")</f>
        <v>-0.0651769087523277</v>
      </c>
      <c r="K133" s="6" t="n">
        <f aca="false">IFERROR(AA133/AD133-1,"")</f>
        <v>0.0764319685690653</v>
      </c>
      <c r="L133" s="3" t="str">
        <f aca="false">IF(OR(J133="",K133=""),"n/a (new)",IF(J133&gt;=0,IF(K133&gt;=0,"Long Buildup","Short Covering"),IF(K133&gt;=0,"Short Buildup","Long Unwinding")))</f>
        <v>Short Buildup</v>
      </c>
      <c r="M133" s="6" t="n">
        <f aca="false">IFERROR(V133/Z133-1,"")</f>
        <v>-0.111504424778761</v>
      </c>
      <c r="N133" s="6" t="n">
        <f aca="false">IFERROR(AA133/AE133-1,"")</f>
        <v>-0.104042511994148</v>
      </c>
      <c r="O133" s="3" t="str">
        <f aca="false">IF(OR(M133="",N133=""),"n/a (new)",IF(M133&gt;=0,IF(N133&gt;=0,"Long Buildup","Short Covering"),IF(N133&gt;=0,"Short Buildup","Long Unwinding")))</f>
        <v>Long Unwinding</v>
      </c>
      <c r="P133" s="7" t="n">
        <f aca="false">IFERROR(AF133/AG133,"")</f>
        <v>0.679798356982823</v>
      </c>
      <c r="Q133" s="7" t="n">
        <f aca="false">IFERROR(AH133/AI133,"")</f>
        <v>0.608028480235699</v>
      </c>
      <c r="V133" s="9" t="n">
        <v>502</v>
      </c>
      <c r="W133" s="9" t="n">
        <v>503.76</v>
      </c>
      <c r="X133" s="9" t="n">
        <v>521</v>
      </c>
      <c r="Y133" s="9" t="n">
        <v>537</v>
      </c>
      <c r="Z133" s="9" t="n">
        <v>565</v>
      </c>
      <c r="AA133" s="10" t="n">
        <v>41645000</v>
      </c>
      <c r="AB133" s="10" t="n">
        <v>42942000</v>
      </c>
      <c r="AC133" s="10" t="n">
        <v>41909000</v>
      </c>
      <c r="AD133" s="10" t="n">
        <v>38688000</v>
      </c>
      <c r="AE133" s="10" t="n">
        <v>46481000</v>
      </c>
      <c r="AF133" s="10" t="n">
        <v>7282000</v>
      </c>
      <c r="AG133" s="10" t="n">
        <v>10712000</v>
      </c>
      <c r="AH133" s="10" t="n">
        <v>4953000</v>
      </c>
      <c r="AI133" s="10" t="n">
        <v>8146000</v>
      </c>
    </row>
    <row r="134" customFormat="false" ht="15" hidden="false" customHeight="false" outlineLevel="0" collapsed="false">
      <c r="A134" s="3" t="n">
        <v>131</v>
      </c>
      <c r="B134" s="4" t="s">
        <v>168</v>
      </c>
      <c r="C134" s="5" t="n">
        <v>-9.45</v>
      </c>
      <c r="D134" s="6" t="n">
        <f aca="false">IFERROR(V134/W134-1,"")</f>
        <v>-0.0139709833422891</v>
      </c>
      <c r="E134" s="6" t="n">
        <f aca="false">IFERROR(AA134/AB134-1,"")</f>
        <v>0.000139204677277238</v>
      </c>
      <c r="F134" s="3" t="str">
        <f aca="false">IF(OR(D134="",E134=""),"n/a (new)",IF(D134&gt;=0,IF(E134&gt;=0,"Long Buildup","Short Covering"),IF(E134&gt;=0,"Short Buildup","Long Unwinding")))</f>
        <v>Short Buildup</v>
      </c>
      <c r="G134" s="6" t="n">
        <f aca="false">IFERROR(V134/X134-1,"")</f>
        <v>-0.0541237113402061</v>
      </c>
      <c r="H134" s="6" t="n">
        <f aca="false">IFERROR(AA134/AC134-1,"")</f>
        <v>-0.010285609330517</v>
      </c>
      <c r="I134" s="3" t="str">
        <f aca="false">IF(OR(G134="",H134=""),"n/a (new)",IF(G134&gt;=0,IF(H134&gt;=0,"Long Buildup","Short Covering"),IF(H134&gt;=0,"Short Buildup","Long Unwinding")))</f>
        <v>Long Unwinding</v>
      </c>
      <c r="J134" s="6" t="n">
        <f aca="false">IFERROR(V134/Y134-1,"")</f>
        <v>-0.0562317846734099</v>
      </c>
      <c r="K134" s="6" t="n">
        <f aca="false">IFERROR(AA134/AD134-1,"")</f>
        <v>0.00190582438525544</v>
      </c>
      <c r="L134" s="3" t="str">
        <f aca="false">IF(OR(J134="",K134=""),"n/a (new)",IF(J134&gt;=0,IF(K134&gt;=0,"Long Buildup","Short Covering"),IF(K134&gt;=0,"Short Buildup","Long Unwinding")))</f>
        <v>Short Buildup</v>
      </c>
      <c r="M134" s="6" t="n">
        <f aca="false">IFERROR(V134/Z134-1,"")</f>
        <v>-0.153076923076923</v>
      </c>
      <c r="N134" s="6" t="n">
        <f aca="false">IFERROR(AA134/AE134-1,"")</f>
        <v>-0.0484725410559774</v>
      </c>
      <c r="O134" s="3" t="str">
        <f aca="false">IF(OR(M134="",N134=""),"n/a (new)",IF(M134&gt;=0,IF(N134&gt;=0,"Long Buildup","Short Covering"),IF(N134&gt;=0,"Short Buildup","Long Unwinding")))</f>
        <v>Long Unwinding</v>
      </c>
      <c r="P134" s="7" t="n">
        <f aca="false">IFERROR(AF134/AG134,"")</f>
        <v>0.615812999193962</v>
      </c>
      <c r="Q134" s="7" t="n">
        <f aca="false">IFERROR(AH134/AI134,"")</f>
        <v>0.667575206945286</v>
      </c>
      <c r="V134" s="9" t="n">
        <v>330.3</v>
      </c>
      <c r="W134" s="9" t="n">
        <v>334.98</v>
      </c>
      <c r="X134" s="9" t="n">
        <v>349.2</v>
      </c>
      <c r="Y134" s="9" t="n">
        <v>349.98</v>
      </c>
      <c r="Z134" s="9" t="n">
        <v>390</v>
      </c>
      <c r="AA134" s="10" t="n">
        <v>53885000</v>
      </c>
      <c r="AB134" s="10" t="n">
        <v>53877500</v>
      </c>
      <c r="AC134" s="10" t="n">
        <v>54445000</v>
      </c>
      <c r="AD134" s="10" t="n">
        <v>53782500</v>
      </c>
      <c r="AE134" s="10" t="n">
        <v>56630000</v>
      </c>
      <c r="AF134" s="10" t="n">
        <v>21010000</v>
      </c>
      <c r="AG134" s="10" t="n">
        <v>34117500</v>
      </c>
      <c r="AH134" s="10" t="n">
        <v>16532500</v>
      </c>
      <c r="AI134" s="10" t="n">
        <v>24765000</v>
      </c>
    </row>
    <row r="135" customFormat="false" ht="15" hidden="false" customHeight="false" outlineLevel="0" collapsed="false">
      <c r="A135" s="3" t="n">
        <v>132</v>
      </c>
      <c r="B135" s="4" t="s">
        <v>169</v>
      </c>
      <c r="C135" s="5" t="n">
        <v>-9.46</v>
      </c>
      <c r="D135" s="6" t="n">
        <f aca="false">IFERROR(V135/W135-1,"")</f>
        <v>-0.00364583333333335</v>
      </c>
      <c r="E135" s="6" t="n">
        <f aca="false">IFERROR(AA135/AB135-1,"")</f>
        <v>0.0298924919150423</v>
      </c>
      <c r="F135" s="3" t="str">
        <f aca="false">IF(OR(D135="",E135=""),"n/a (new)",IF(D135&gt;=0,IF(E135&gt;=0,"Long Buildup","Short Covering"),IF(E135&gt;=0,"Short Buildup","Long Unwinding")))</f>
        <v>Short Buildup</v>
      </c>
      <c r="G135" s="6" t="n">
        <f aca="false">IFERROR(V135/X135-1,"")</f>
        <v>-0.0223168654173765</v>
      </c>
      <c r="H135" s="6" t="n">
        <f aca="false">IFERROR(AA135/AC135-1,"")</f>
        <v>0.0639758002618629</v>
      </c>
      <c r="I135" s="3" t="str">
        <f aca="false">IF(OR(G135="",H135=""),"n/a (new)",IF(G135&gt;=0,IF(H135&gt;=0,"Long Buildup","Short Covering"),IF(H135&gt;=0,"Short Buildup","Long Unwinding")))</f>
        <v>Short Buildup</v>
      </c>
      <c r="J135" s="6" t="n">
        <f aca="false">IFERROR(V135/Y135-1,"")</f>
        <v>0.00244541484716154</v>
      </c>
      <c r="K135" s="6" t="n">
        <f aca="false">IFERROR(AA135/AD135-1,"")</f>
        <v>0.134726502311248</v>
      </c>
      <c r="L135" s="3" t="str">
        <f aca="false">IF(OR(J135="",K135=""),"n/a (new)",IF(J135&gt;=0,IF(K135&gt;=0,"Long Buildup","Short Covering"),IF(K135&gt;=0,"Short Buildup","Long Unwinding")))</f>
        <v>Long Buildup</v>
      </c>
      <c r="M135" s="6" t="n">
        <f aca="false">IFERROR(V135/Z135-1,"")</f>
        <v>-0.0849808673469389</v>
      </c>
      <c r="N135" s="6" t="n">
        <f aca="false">IFERROR(AA135/AE135-1,"")</f>
        <v>0.334428086070215</v>
      </c>
      <c r="O135" s="3" t="str">
        <f aca="false">IF(OR(M135="",N135=""),"n/a (new)",IF(M135&gt;=0,IF(N135&gt;=0,"Long Buildup","Short Covering"),IF(N135&gt;=0,"Short Buildup","Long Unwinding")))</f>
        <v>Short Buildup</v>
      </c>
      <c r="P135" s="7" t="n">
        <f aca="false">IFERROR(AF135/AG135,"")</f>
        <v>0.774792516528344</v>
      </c>
      <c r="Q135" s="7" t="n">
        <f aca="false">IFERROR(AH135/AI135,"")</f>
        <v>0.657035764485398</v>
      </c>
      <c r="V135" s="9" t="n">
        <v>286.95</v>
      </c>
      <c r="W135" s="9" t="n">
        <v>288</v>
      </c>
      <c r="X135" s="9" t="n">
        <v>293.5</v>
      </c>
      <c r="Y135" s="9" t="n">
        <v>286.25</v>
      </c>
      <c r="Z135" s="9" t="n">
        <v>313.6</v>
      </c>
      <c r="AA135" s="10" t="n">
        <v>46542850</v>
      </c>
      <c r="AB135" s="10" t="n">
        <v>45191950</v>
      </c>
      <c r="AC135" s="10" t="n">
        <v>43744275</v>
      </c>
      <c r="AD135" s="10" t="n">
        <v>41016800</v>
      </c>
      <c r="AE135" s="10" t="n">
        <v>34878500</v>
      </c>
      <c r="AF135" s="10" t="n">
        <v>10878300</v>
      </c>
      <c r="AG135" s="10" t="n">
        <v>14040275</v>
      </c>
      <c r="AH135" s="10" t="n">
        <v>8308825</v>
      </c>
      <c r="AI135" s="10" t="n">
        <v>12645925</v>
      </c>
    </row>
    <row r="136" customFormat="false" ht="15" hidden="false" customHeight="false" outlineLevel="0" collapsed="false">
      <c r="A136" s="3" t="n">
        <v>133</v>
      </c>
      <c r="B136" s="4" t="s">
        <v>170</v>
      </c>
      <c r="C136" s="5" t="n">
        <v>-9.61</v>
      </c>
      <c r="D136" s="6" t="n">
        <f aca="false">IFERROR(V136/W136-1,"")</f>
        <v>-0.00416399743754004</v>
      </c>
      <c r="E136" s="6" t="n">
        <f aca="false">IFERROR(AA136/AB136-1,"")</f>
        <v>-0.0477646960237985</v>
      </c>
      <c r="F136" s="3" t="str">
        <f aca="false">IF(OR(D136="",E136=""),"n/a (new)",IF(D136&gt;=0,IF(E136&gt;=0,"Long Buildup","Short Covering"),IF(E136&gt;=0,"Short Buildup","Long Unwinding")))</f>
        <v>Long Unwinding</v>
      </c>
      <c r="G136" s="6" t="n">
        <f aca="false">IFERROR(V136/X136-1,"")</f>
        <v>-0.0411719352351582</v>
      </c>
      <c r="H136" s="6" t="n">
        <f aca="false">IFERROR(AA136/AC136-1,"")</f>
        <v>0.0131056925065751</v>
      </c>
      <c r="I136" s="3" t="str">
        <f aca="false">IF(OR(G136="",H136=""),"n/a (new)",IF(G136&gt;=0,IF(H136&gt;=0,"Long Buildup","Short Covering"),IF(H136&gt;=0,"Short Buildup","Long Unwinding")))</f>
        <v>Short Buildup</v>
      </c>
      <c r="J136" s="6" t="n">
        <f aca="false">IFERROR(V136/Y136-1,"")</f>
        <v>-0.00702650910252334</v>
      </c>
      <c r="K136" s="6" t="n">
        <f aca="false">IFERROR(AA136/AD136-1,"")</f>
        <v>0.0172321188792408</v>
      </c>
      <c r="L136" s="3" t="str">
        <f aca="false">IF(OR(J136="",K136=""),"n/a (new)",IF(J136&gt;=0,IF(K136&gt;=0,"Long Buildup","Short Covering"),IF(K136&gt;=0,"Short Buildup","Long Unwinding")))</f>
        <v>Short Buildup</v>
      </c>
      <c r="M136" s="6" t="n">
        <f aca="false">IFERROR(V136/Z136-1,"")</f>
        <v>-0.117237854567137</v>
      </c>
      <c r="N136" s="6" t="n">
        <f aca="false">IFERROR(AA136/AE136-1,"")</f>
        <v>-0.0114827541211778</v>
      </c>
      <c r="O136" s="3" t="str">
        <f aca="false">IF(OR(M136="",N136=""),"n/a (new)",IF(M136&gt;=0,IF(N136&gt;=0,"Long Buildup","Short Covering"),IF(N136&gt;=0,"Short Buildup","Long Unwinding")))</f>
        <v>Long Unwinding</v>
      </c>
      <c r="P136" s="7" t="n">
        <f aca="false">IFERROR(AF136/AG136,"")</f>
        <v>0.80386289445049</v>
      </c>
      <c r="Q136" s="7" t="n">
        <f aca="false">IFERROR(AH136/AI136,"")</f>
        <v>0.783644603131008</v>
      </c>
      <c r="V136" s="9" t="n">
        <v>310.9</v>
      </c>
      <c r="W136" s="9" t="n">
        <v>312.2</v>
      </c>
      <c r="X136" s="9" t="n">
        <v>324.25</v>
      </c>
      <c r="Y136" s="9" t="n">
        <v>313.1</v>
      </c>
      <c r="Z136" s="9" t="n">
        <v>352.19</v>
      </c>
      <c r="AA136" s="10" t="n">
        <v>42613125</v>
      </c>
      <c r="AB136" s="10" t="n">
        <v>44750625</v>
      </c>
      <c r="AC136" s="10" t="n">
        <v>42061875</v>
      </c>
      <c r="AD136" s="10" t="n">
        <v>41891250</v>
      </c>
      <c r="AE136" s="10" t="n">
        <v>43108125</v>
      </c>
      <c r="AF136" s="10" t="n">
        <v>22162500</v>
      </c>
      <c r="AG136" s="10" t="n">
        <v>27570000</v>
      </c>
      <c r="AH136" s="10" t="n">
        <v>21399375</v>
      </c>
      <c r="AI136" s="10" t="n">
        <v>27307500</v>
      </c>
    </row>
    <row r="137" customFormat="false" ht="15" hidden="false" customHeight="false" outlineLevel="0" collapsed="false">
      <c r="A137" s="3" t="n">
        <v>134</v>
      </c>
      <c r="B137" s="4" t="s">
        <v>171</v>
      </c>
      <c r="C137" s="5" t="n">
        <v>-9.67</v>
      </c>
      <c r="D137" s="6" t="n">
        <f aca="false">IFERROR(V137/W137-1,"")</f>
        <v>-0.000469031573230638</v>
      </c>
      <c r="E137" s="6" t="n">
        <f aca="false">IFERROR(AA137/AB137-1,"")</f>
        <v>-0.0828364565587735</v>
      </c>
      <c r="F137" s="3" t="str">
        <f aca="false">IF(OR(D137="",E137=""),"n/a (new)",IF(D137&gt;=0,IF(E137&gt;=0,"Long Buildup","Short Covering"),IF(E137&gt;=0,"Short Buildup","Long Unwinding")))</f>
        <v>Long Unwinding</v>
      </c>
      <c r="G137" s="6" t="n">
        <f aca="false">IFERROR(V137/X137-1,"")</f>
        <v>-0.0313860580833453</v>
      </c>
      <c r="H137" s="6" t="n">
        <f aca="false">IFERROR(AA137/AC137-1,"")</f>
        <v>-0.0411843276936776</v>
      </c>
      <c r="I137" s="3" t="str">
        <f aca="false">IF(OR(G137="",H137=""),"n/a (new)",IF(G137&gt;=0,IF(H137&gt;=0,"Long Buildup","Short Covering"),IF(H137&gt;=0,"Short Buildup","Long Unwinding")))</f>
        <v>Long Unwinding</v>
      </c>
      <c r="J137" s="6" t="n">
        <f aca="false">IFERROR(V137/Y137-1,"")</f>
        <v>-0.0530869971936391</v>
      </c>
      <c r="K137" s="6" t="n">
        <f aca="false">IFERROR(AA137/AD137-1,"")</f>
        <v>0.041596130592503</v>
      </c>
      <c r="L137" s="3" t="str">
        <f aca="false">IF(OR(J137="",K137=""),"n/a (new)",IF(J137&gt;=0,IF(K137&gt;=0,"Long Buildup","Short Covering"),IF(K137&gt;=0,"Short Buildup","Long Unwinding")))</f>
        <v>Short Buildup</v>
      </c>
      <c r="M137" s="6" t="n">
        <f aca="false">IFERROR(V137/Z137-1,"")</f>
        <v>-0.175557908454146</v>
      </c>
      <c r="N137" s="6" t="n">
        <f aca="false">IFERROR(AA137/AE137-1,"")</f>
        <v>-0.0890439932318105</v>
      </c>
      <c r="O137" s="3" t="str">
        <f aca="false">IF(OR(M137="",N137=""),"n/a (new)",IF(M137&gt;=0,IF(N137&gt;=0,"Long Buildup","Short Covering"),IF(N137&gt;=0,"Short Buildup","Long Unwinding")))</f>
        <v>Long Unwinding</v>
      </c>
      <c r="P137" s="7" t="n">
        <f aca="false">IFERROR(AF137/AG137,"")</f>
        <v>0.759870550161812</v>
      </c>
      <c r="Q137" s="7" t="n">
        <f aca="false">IFERROR(AH137/AI137,"")</f>
        <v>0.712341962673089</v>
      </c>
      <c r="V137" s="9" t="n">
        <v>404.9</v>
      </c>
      <c r="W137" s="9" t="n">
        <v>405.09</v>
      </c>
      <c r="X137" s="9" t="n">
        <v>418.02</v>
      </c>
      <c r="Y137" s="9" t="n">
        <v>427.6</v>
      </c>
      <c r="Z137" s="9" t="n">
        <v>491.12</v>
      </c>
      <c r="AA137" s="10" t="n">
        <v>21535000</v>
      </c>
      <c r="AB137" s="10" t="n">
        <v>23480000</v>
      </c>
      <c r="AC137" s="10" t="n">
        <v>22460000</v>
      </c>
      <c r="AD137" s="10" t="n">
        <v>20675000</v>
      </c>
      <c r="AE137" s="10" t="n">
        <v>23640000</v>
      </c>
      <c r="AF137" s="10" t="n">
        <v>7337500</v>
      </c>
      <c r="AG137" s="10" t="n">
        <v>9656250</v>
      </c>
      <c r="AH137" s="10" t="n">
        <v>7395000</v>
      </c>
      <c r="AI137" s="10" t="n">
        <v>10381250</v>
      </c>
    </row>
    <row r="138" customFormat="false" ht="15" hidden="false" customHeight="false" outlineLevel="0" collapsed="false">
      <c r="A138" s="3" t="n">
        <v>135</v>
      </c>
      <c r="B138" s="4" t="s">
        <v>172</v>
      </c>
      <c r="C138" s="5" t="n">
        <v>-10.02</v>
      </c>
      <c r="D138" s="6" t="n">
        <f aca="false">IFERROR(V138/W138-1,"")</f>
        <v>-0.00911054539844169</v>
      </c>
      <c r="E138" s="6" t="n">
        <f aca="false">IFERROR(AA138/AB138-1,"")</f>
        <v>0.00550604529715626</v>
      </c>
      <c r="F138" s="3" t="str">
        <f aca="false">IF(OR(D138="",E138=""),"n/a (new)",IF(D138&gt;=0,IF(E138&gt;=0,"Long Buildup","Short Covering"),IF(E138&gt;=0,"Short Buildup","Long Unwinding")))</f>
        <v>Short Buildup</v>
      </c>
      <c r="G138" s="6" t="n">
        <f aca="false">IFERROR(V138/X138-1,"")</f>
        <v>-0.0691966550239859</v>
      </c>
      <c r="H138" s="6" t="n">
        <f aca="false">IFERROR(AA138/AC138-1,"")</f>
        <v>0.0103233901785205</v>
      </c>
      <c r="I138" s="3" t="str">
        <f aca="false">IF(OR(G138="",H138=""),"n/a (new)",IF(G138&gt;=0,IF(H138&gt;=0,"Long Buildup","Short Covering"),IF(H138&gt;=0,"Short Buildup","Long Unwinding")))</f>
        <v>Short Buildup</v>
      </c>
      <c r="J138" s="6" t="n">
        <f aca="false">IFERROR(V138/Y138-1,"")</f>
        <v>-0.0255431814043819</v>
      </c>
      <c r="K138" s="6" t="n">
        <f aca="false">IFERROR(AA138/AD138-1,"")</f>
        <v>-0.0125975473801561</v>
      </c>
      <c r="L138" s="3" t="str">
        <f aca="false">IF(OR(J138="",K138=""),"n/a (new)",IF(J138&gt;=0,IF(K138&gt;=0,"Long Buildup","Short Covering"),IF(K138&gt;=0,"Short Buildup","Long Unwinding")))</f>
        <v>Long Unwinding</v>
      </c>
      <c r="M138" s="6" t="n">
        <f aca="false">IFERROR(V138/Z138-1,"")</f>
        <v>-0.08111568947263</v>
      </c>
      <c r="N138" s="6" t="n">
        <f aca="false">IFERROR(AA138/AE138-1,"")</f>
        <v>-0.109132971233152</v>
      </c>
      <c r="O138" s="3" t="str">
        <f aca="false">IF(OR(M138="",N138=""),"n/a (new)",IF(M138&gt;=0,IF(N138&gt;=0,"Long Buildup","Short Covering"),IF(N138&gt;=0,"Short Buildup","Long Unwinding")))</f>
        <v>Long Unwinding</v>
      </c>
      <c r="P138" s="7" t="n">
        <f aca="false">IFERROR(AF138/AG138,"")</f>
        <v>1.00934720337705</v>
      </c>
      <c r="Q138" s="7" t="n">
        <f aca="false">IFERROR(AH138/AI138,"")</f>
        <v>1.28095712861416</v>
      </c>
      <c r="V138" s="9" t="n">
        <v>1284.49</v>
      </c>
      <c r="W138" s="9" t="n">
        <v>1296.3</v>
      </c>
      <c r="X138" s="9" t="n">
        <v>1379.98</v>
      </c>
      <c r="Y138" s="9" t="n">
        <v>1318.16</v>
      </c>
      <c r="Z138" s="9" t="n">
        <v>1397.88</v>
      </c>
      <c r="AA138" s="10" t="n">
        <v>7085600</v>
      </c>
      <c r="AB138" s="10" t="n">
        <v>7046800</v>
      </c>
      <c r="AC138" s="10" t="n">
        <v>7013200</v>
      </c>
      <c r="AD138" s="10" t="n">
        <v>7176000</v>
      </c>
      <c r="AE138" s="10" t="n">
        <v>7953600</v>
      </c>
      <c r="AF138" s="10" t="n">
        <v>2678000</v>
      </c>
      <c r="AG138" s="10" t="n">
        <v>2653200</v>
      </c>
      <c r="AH138" s="10" t="n">
        <v>2569600</v>
      </c>
      <c r="AI138" s="10" t="n">
        <v>2006000</v>
      </c>
    </row>
    <row r="139" customFormat="false" ht="15" hidden="false" customHeight="false" outlineLevel="0" collapsed="false">
      <c r="A139" s="3" t="n">
        <v>136</v>
      </c>
      <c r="B139" s="4" t="s">
        <v>173</v>
      </c>
      <c r="C139" s="5" t="n">
        <v>-10.03</v>
      </c>
      <c r="D139" s="6" t="n">
        <f aca="false">IFERROR(V139/W139-1,"")</f>
        <v>0.0246321706067119</v>
      </c>
      <c r="E139" s="6" t="n">
        <f aca="false">IFERROR(AA139/AB139-1,"")</f>
        <v>-0.0323049588111776</v>
      </c>
      <c r="F139" s="3" t="str">
        <f aca="false">IF(OR(D139="",E139=""),"n/a (new)",IF(D139&gt;=0,IF(E139&gt;=0,"Long Buildup","Short Covering"),IF(E139&gt;=0,"Short Buildup","Long Unwinding")))</f>
        <v>Short Covering</v>
      </c>
      <c r="G139" s="6" t="n">
        <f aca="false">IFERROR(V139/X139-1,"")</f>
        <v>-0.0202339551059121</v>
      </c>
      <c r="H139" s="6" t="n">
        <f aca="false">IFERROR(AA139/AC139-1,"")</f>
        <v>-0.110071301247772</v>
      </c>
      <c r="I139" s="3" t="str">
        <f aca="false">IF(OR(G139="",H139=""),"n/a (new)",IF(G139&gt;=0,IF(H139&gt;=0,"Long Buildup","Short Covering"),IF(H139&gt;=0,"Short Buildup","Long Unwinding")))</f>
        <v>Long Unwinding</v>
      </c>
      <c r="J139" s="6" t="n">
        <f aca="false">IFERROR(V139/Y139-1,"")</f>
        <v>-0.00513643659711072</v>
      </c>
      <c r="K139" s="6" t="n">
        <f aca="false">IFERROR(AA139/AD139-1,"")</f>
        <v>1.61273440907109</v>
      </c>
      <c r="L139" s="3" t="str">
        <f aca="false">IF(OR(J139="",K139=""),"n/a (new)",IF(J139&gt;=0,IF(K139&gt;=0,"Long Buildup","Short Covering"),IF(K139&gt;=0,"Short Buildup","Long Unwinding")))</f>
        <v>Short Buildup</v>
      </c>
      <c r="M139" s="6" t="str">
        <f aca="false">IFERROR(V139/Z139-1,"")</f>
        <v/>
      </c>
      <c r="N139" s="6" t="str">
        <f aca="false">IFERROR(AA139/AE139-1,"")</f>
        <v/>
      </c>
      <c r="O139" s="3" t="str">
        <f aca="false">IF(OR(M139="",N139=""),"n/a (new)",IF(M139&gt;=0,IF(N139&gt;=0,"Long Buildup","Short Covering"),IF(N139&gt;=0,"Short Buildup","Long Unwinding")))</f>
        <v>n/a (new)</v>
      </c>
      <c r="P139" s="7" t="n">
        <f aca="false">IFERROR(AF139/AG139,"")</f>
        <v>0.385207247455944</v>
      </c>
      <c r="Q139" s="7" t="n">
        <f aca="false">IFERROR(AH139/AI139,"")</f>
        <v>0.621532364597094</v>
      </c>
      <c r="V139" s="9" t="n">
        <v>61.98</v>
      </c>
      <c r="W139" s="9" t="n">
        <v>60.49</v>
      </c>
      <c r="X139" s="9" t="n">
        <v>63.26</v>
      </c>
      <c r="Y139" s="9" t="n">
        <v>62.3</v>
      </c>
      <c r="Z139" s="9"/>
      <c r="AA139" s="10" t="n">
        <v>47928000</v>
      </c>
      <c r="AB139" s="10" t="n">
        <v>49528000</v>
      </c>
      <c r="AC139" s="10" t="n">
        <v>53856000</v>
      </c>
      <c r="AD139" s="10" t="n">
        <v>18344000</v>
      </c>
      <c r="AE139" s="10"/>
      <c r="AF139" s="10" t="n">
        <v>12416000</v>
      </c>
      <c r="AG139" s="10" t="n">
        <v>32232000</v>
      </c>
      <c r="AH139" s="10" t="n">
        <v>7528000</v>
      </c>
      <c r="AI139" s="10" t="n">
        <v>12112000</v>
      </c>
    </row>
    <row r="140" customFormat="false" ht="15" hidden="false" customHeight="false" outlineLevel="0" collapsed="false">
      <c r="A140" s="3" t="n">
        <v>137</v>
      </c>
      <c r="B140" s="4" t="s">
        <v>174</v>
      </c>
      <c r="C140" s="5" t="n">
        <v>-10.08</v>
      </c>
      <c r="D140" s="6" t="n">
        <f aca="false">IFERROR(V140/W140-1,"")</f>
        <v>-0.0115914319876748</v>
      </c>
      <c r="E140" s="6" t="n">
        <f aca="false">IFERROR(AA140/AB140-1,"")</f>
        <v>-0.0804104634536126</v>
      </c>
      <c r="F140" s="3" t="str">
        <f aca="false">IF(OR(D140="",E140=""),"n/a (new)",IF(D140&gt;=0,IF(E140&gt;=0,"Long Buildup","Short Covering"),IF(E140&gt;=0,"Short Buildup","Long Unwinding")))</f>
        <v>Long Unwinding</v>
      </c>
      <c r="G140" s="6" t="n">
        <f aca="false">IFERROR(V140/X140-1,"")</f>
        <v>-0.0670584988962473</v>
      </c>
      <c r="H140" s="6" t="n">
        <f aca="false">IFERROR(AA140/AC140-1,"")</f>
        <v>-0.0181850837411881</v>
      </c>
      <c r="I140" s="3" t="str">
        <f aca="false">IF(OR(G140="",H140=""),"n/a (new)",IF(G140&gt;=0,IF(H140&gt;=0,"Long Buildup","Short Covering"),IF(H140&gt;=0,"Short Buildup","Long Unwinding")))</f>
        <v>Long Unwinding</v>
      </c>
      <c r="J140" s="6" t="n">
        <f aca="false">IFERROR(V140/Y140-1,"")</f>
        <v>-0.0709117539564115</v>
      </c>
      <c r="K140" s="6" t="n">
        <f aca="false">IFERROR(AA140/AD140-1,"")</f>
        <v>0.0776206199793013</v>
      </c>
      <c r="L140" s="3" t="str">
        <f aca="false">IF(OR(J140="",K140=""),"n/a (new)",IF(J140&gt;=0,IF(K140&gt;=0,"Long Buildup","Short Covering"),IF(K140&gt;=0,"Short Buildup","Long Unwinding")))</f>
        <v>Short Buildup</v>
      </c>
      <c r="M140" s="6" t="n">
        <f aca="false">IFERROR(V140/Z140-1,"")</f>
        <v>-0.123646646846431</v>
      </c>
      <c r="N140" s="6" t="n">
        <f aca="false">IFERROR(AA140/AE140-1,"")</f>
        <v>-0.0501715824681812</v>
      </c>
      <c r="O140" s="3" t="str">
        <f aca="false">IF(OR(M140="",N140=""),"n/a (new)",IF(M140&gt;=0,IF(N140&gt;=0,"Long Buildup","Short Covering"),IF(N140&gt;=0,"Short Buildup","Long Unwinding")))</f>
        <v>Long Unwinding</v>
      </c>
      <c r="P140" s="7" t="n">
        <f aca="false">IFERROR(AF140/AG140,"")</f>
        <v>0.623529411764706</v>
      </c>
      <c r="Q140" s="7" t="n">
        <f aca="false">IFERROR(AH140/AI140,"")</f>
        <v>0.943081906524757</v>
      </c>
      <c r="V140" s="9" t="n">
        <v>3380.98</v>
      </c>
      <c r="W140" s="9" t="n">
        <v>3420.63</v>
      </c>
      <c r="X140" s="9" t="n">
        <v>3624</v>
      </c>
      <c r="Y140" s="9" t="n">
        <v>3639.03</v>
      </c>
      <c r="Z140" s="9" t="n">
        <v>3858.01</v>
      </c>
      <c r="AA140" s="10" t="n">
        <v>3826550</v>
      </c>
      <c r="AB140" s="10" t="n">
        <v>4161150</v>
      </c>
      <c r="AC140" s="10" t="n">
        <v>3897425</v>
      </c>
      <c r="AD140" s="10" t="n">
        <v>3550925</v>
      </c>
      <c r="AE140" s="10" t="n">
        <v>4028675</v>
      </c>
      <c r="AF140" s="10" t="n">
        <v>1057350</v>
      </c>
      <c r="AG140" s="10" t="n">
        <v>1695750</v>
      </c>
      <c r="AH140" s="10" t="n">
        <v>713300</v>
      </c>
      <c r="AI140" s="10" t="n">
        <v>756350</v>
      </c>
    </row>
    <row r="141" customFormat="false" ht="15" hidden="false" customHeight="false" outlineLevel="0" collapsed="false">
      <c r="A141" s="3" t="n">
        <v>138</v>
      </c>
      <c r="B141" s="4" t="s">
        <v>175</v>
      </c>
      <c r="C141" s="5" t="n">
        <v>-10.12</v>
      </c>
      <c r="D141" s="6" t="n">
        <f aca="false">IFERROR(V141/W141-1,"")</f>
        <v>-0.00414833438089246</v>
      </c>
      <c r="E141" s="6" t="n">
        <f aca="false">IFERROR(AA141/AB141-1,"")</f>
        <v>-0.00447022209647763</v>
      </c>
      <c r="F141" s="3" t="str">
        <f aca="false">IF(OR(D141="",E141=""),"n/a (new)",IF(D141&gt;=0,IF(E141&gt;=0,"Long Buildup","Short Covering"),IF(E141&gt;=0,"Short Buildup","Long Unwinding")))</f>
        <v>Long Unwinding</v>
      </c>
      <c r="G141" s="6" t="n">
        <f aca="false">IFERROR(V141/X141-1,"")</f>
        <v>-0.054089552238806</v>
      </c>
      <c r="H141" s="6" t="n">
        <f aca="false">IFERROR(AA141/AC141-1,"")</f>
        <v>0.00689635437532199</v>
      </c>
      <c r="I141" s="3" t="str">
        <f aca="false">IF(OR(G141="",H141=""),"n/a (new)",IF(G141&gt;=0,IF(H141&gt;=0,"Long Buildup","Short Covering"),IF(H141&gt;=0,"Short Buildup","Long Unwinding")))</f>
        <v>Short Buildup</v>
      </c>
      <c r="J141" s="6" t="n">
        <f aca="false">IFERROR(V141/Y141-1,"")</f>
        <v>0.0183173725817853</v>
      </c>
      <c r="K141" s="6" t="n">
        <f aca="false">IFERROR(AA141/AD141-1,"")</f>
        <v>-0.0206790982465906</v>
      </c>
      <c r="L141" s="3" t="str">
        <f aca="false">IF(OR(J141="",K141=""),"n/a (new)",IF(J141&gt;=0,IF(K141&gt;=0,"Long Buildup","Short Covering"),IF(K141&gt;=0,"Short Buildup","Long Unwinding")))</f>
        <v>Short Covering</v>
      </c>
      <c r="M141" s="6" t="n">
        <f aca="false">IFERROR(V141/Z141-1,"")</f>
        <v>-0.142176502436383</v>
      </c>
      <c r="N141" s="6" t="n">
        <f aca="false">IFERROR(AA141/AE141-1,"")</f>
        <v>0.130942049946968</v>
      </c>
      <c r="O141" s="3" t="str">
        <f aca="false">IF(OR(M141="",N141=""),"n/a (new)",IF(M141&gt;=0,IF(N141&gt;=0,"Long Buildup","Short Covering"),IF(N141&gt;=0,"Short Buildup","Long Unwinding")))</f>
        <v>Short Buildup</v>
      </c>
      <c r="P141" s="7" t="n">
        <f aca="false">IFERROR(AF141/AG141,"")</f>
        <v>0.675239675516224</v>
      </c>
      <c r="Q141" s="7" t="n">
        <f aca="false">IFERROR(AH141/AI141,"")</f>
        <v>0.66231561073968</v>
      </c>
      <c r="V141" s="9" t="n">
        <v>158.44</v>
      </c>
      <c r="W141" s="9" t="n">
        <v>159.1</v>
      </c>
      <c r="X141" s="9" t="n">
        <v>167.5</v>
      </c>
      <c r="Y141" s="9" t="n">
        <v>155.59</v>
      </c>
      <c r="Z141" s="9" t="n">
        <v>184.7</v>
      </c>
      <c r="AA141" s="10" t="n">
        <v>126673200</v>
      </c>
      <c r="AB141" s="10" t="n">
        <v>127242000</v>
      </c>
      <c r="AC141" s="10" t="n">
        <v>125805600</v>
      </c>
      <c r="AD141" s="10" t="n">
        <v>129348000</v>
      </c>
      <c r="AE141" s="10" t="n">
        <v>112006800</v>
      </c>
      <c r="AF141" s="10" t="n">
        <v>26370000</v>
      </c>
      <c r="AG141" s="10" t="n">
        <v>39052800</v>
      </c>
      <c r="AH141" s="10" t="n">
        <v>22467600</v>
      </c>
      <c r="AI141" s="10" t="n">
        <v>33922800</v>
      </c>
    </row>
    <row r="142" customFormat="false" ht="15" hidden="false" customHeight="false" outlineLevel="0" collapsed="false">
      <c r="A142" s="3" t="n">
        <v>139</v>
      </c>
      <c r="B142" s="4" t="s">
        <v>176</v>
      </c>
      <c r="C142" s="5" t="n">
        <v>-10.16</v>
      </c>
      <c r="D142" s="6" t="n">
        <f aca="false">IFERROR(V142/W142-1,"")</f>
        <v>-0.0133898853110676</v>
      </c>
      <c r="E142" s="6" t="n">
        <f aca="false">IFERROR(AA142/AB142-1,"")</f>
        <v>-0.130988857938719</v>
      </c>
      <c r="F142" s="3" t="str">
        <f aca="false">IF(OR(D142="",E142=""),"n/a (new)",IF(D142&gt;=0,IF(E142&gt;=0,"Long Buildup","Short Covering"),IF(E142&gt;=0,"Short Buildup","Long Unwinding")))</f>
        <v>Long Unwinding</v>
      </c>
      <c r="G142" s="6" t="n">
        <f aca="false">IFERROR(V142/X142-1,"")</f>
        <v>-0.0525479452054795</v>
      </c>
      <c r="H142" s="6" t="n">
        <f aca="false">IFERROR(AA142/AC142-1,"")</f>
        <v>-0.0705001675915236</v>
      </c>
      <c r="I142" s="3" t="str">
        <f aca="false">IF(OR(G142="",H142=""),"n/a (new)",IF(G142&gt;=0,IF(H142&gt;=0,"Long Buildup","Short Covering"),IF(H142&gt;=0,"Short Buildup","Long Unwinding")))</f>
        <v>Long Unwinding</v>
      </c>
      <c r="J142" s="6" t="n">
        <f aca="false">IFERROR(V142/Y142-1,"")</f>
        <v>-0.0120322447016699</v>
      </c>
      <c r="K142" s="6" t="n">
        <f aca="false">IFERROR(AA142/AD142-1,"")</f>
        <v>0.0881583536798047</v>
      </c>
      <c r="L142" s="3" t="str">
        <f aca="false">IF(OR(J142="",K142=""),"n/a (new)",IF(J142&gt;=0,IF(K142&gt;=0,"Long Buildup","Short Covering"),IF(K142&gt;=0,"Short Buildup","Long Unwinding")))</f>
        <v>Short Buildup</v>
      </c>
      <c r="M142" s="6" t="n">
        <f aca="false">IFERROR(V142/Z142-1,"")</f>
        <v>-0.139026626887471</v>
      </c>
      <c r="N142" s="6" t="n">
        <f aca="false">IFERROR(AA142/AE142-1,"")</f>
        <v>-0.187300553565614</v>
      </c>
      <c r="O142" s="3" t="str">
        <f aca="false">IF(OR(M142="",N142=""),"n/a (new)",IF(M142&gt;=0,IF(N142&gt;=0,"Long Buildup","Short Covering"),IF(N142&gt;=0,"Short Buildup","Long Unwinding")))</f>
        <v>Long Unwinding</v>
      </c>
      <c r="P142" s="7" t="n">
        <f aca="false">IFERROR(AF142/AG142,"")</f>
        <v>0.661730057219791</v>
      </c>
      <c r="Q142" s="7" t="n">
        <f aca="false">IFERROR(AH142/AI142,"")</f>
        <v>0.630983583942613</v>
      </c>
      <c r="V142" s="9" t="n">
        <v>2074.92</v>
      </c>
      <c r="W142" s="9" t="n">
        <v>2103.08</v>
      </c>
      <c r="X142" s="9" t="n">
        <v>2190</v>
      </c>
      <c r="Y142" s="9" t="n">
        <v>2100.19</v>
      </c>
      <c r="Z142" s="9" t="n">
        <v>2409.97</v>
      </c>
      <c r="AA142" s="10" t="n">
        <v>4367650</v>
      </c>
      <c r="AB142" s="10" t="n">
        <v>5026000</v>
      </c>
      <c r="AC142" s="10" t="n">
        <v>4698925</v>
      </c>
      <c r="AD142" s="10" t="n">
        <v>4013800</v>
      </c>
      <c r="AE142" s="10" t="n">
        <v>5374250</v>
      </c>
      <c r="AF142" s="10" t="n">
        <v>1032150</v>
      </c>
      <c r="AG142" s="10" t="n">
        <v>1559775</v>
      </c>
      <c r="AH142" s="10" t="n">
        <v>800450</v>
      </c>
      <c r="AI142" s="10" t="n">
        <v>1268575</v>
      </c>
    </row>
    <row r="143" customFormat="false" ht="15" hidden="false" customHeight="false" outlineLevel="0" collapsed="false">
      <c r="A143" s="3" t="n">
        <v>140</v>
      </c>
      <c r="B143" s="4" t="s">
        <v>177</v>
      </c>
      <c r="C143" s="5" t="n">
        <v>-10.2</v>
      </c>
      <c r="D143" s="6" t="n">
        <f aca="false">IFERROR(V143/W143-1,"")</f>
        <v>-0.0171596357954852</v>
      </c>
      <c r="E143" s="6" t="n">
        <f aca="false">IFERROR(AA143/AB143-1,"")</f>
        <v>0.00586685300839984</v>
      </c>
      <c r="F143" s="3" t="str">
        <f aca="false">IF(OR(D143="",E143=""),"n/a (new)",IF(D143&gt;=0,IF(E143&gt;=0,"Long Buildup","Short Covering"),IF(E143&gt;=0,"Short Buildup","Long Unwinding")))</f>
        <v>Short Buildup</v>
      </c>
      <c r="G143" s="6" t="n">
        <f aca="false">IFERROR(V143/X143-1,"")</f>
        <v>-0.0318429083189598</v>
      </c>
      <c r="H143" s="6" t="n">
        <f aca="false">IFERROR(AA143/AC143-1,"")</f>
        <v>0.0101905054315248</v>
      </c>
      <c r="I143" s="3" t="str">
        <f aca="false">IF(OR(G143="",H143=""),"n/a (new)",IF(G143&gt;=0,IF(H143&gt;=0,"Long Buildup","Short Covering"),IF(H143&gt;=0,"Short Buildup","Long Unwinding")))</f>
        <v>Short Buildup</v>
      </c>
      <c r="J143" s="6" t="n">
        <f aca="false">IFERROR(V143/Y143-1,"")</f>
        <v>-0.0066432519262708</v>
      </c>
      <c r="K143" s="6" t="n">
        <f aca="false">IFERROR(AA143/AD143-1,"")</f>
        <v>0.0431172438781364</v>
      </c>
      <c r="L143" s="3" t="str">
        <f aca="false">IF(OR(J143="",K143=""),"n/a (new)",IF(J143&gt;=0,IF(K143&gt;=0,"Long Buildup","Short Covering"),IF(K143&gt;=0,"Short Buildup","Long Unwinding")))</f>
        <v>Short Buildup</v>
      </c>
      <c r="M143" s="6" t="n">
        <f aca="false">IFERROR(V143/Z143-1,"")</f>
        <v>-0.0830610706207589</v>
      </c>
      <c r="N143" s="6" t="n">
        <f aca="false">IFERROR(AA143/AE143-1,"")</f>
        <v>-0.0990598636085068</v>
      </c>
      <c r="O143" s="3" t="str">
        <f aca="false">IF(OR(M143="",N143=""),"n/a (new)",IF(M143&gt;=0,IF(N143&gt;=0,"Long Buildup","Short Covering"),IF(N143&gt;=0,"Short Buildup","Long Unwinding")))</f>
        <v>Long Unwinding</v>
      </c>
      <c r="P143" s="7" t="n">
        <f aca="false">IFERROR(AF143/AG143,"")</f>
        <v>0.730878597957289</v>
      </c>
      <c r="Q143" s="7" t="n">
        <f aca="false">IFERROR(AH143/AI143,"")</f>
        <v>0.683698139969698</v>
      </c>
      <c r="V143" s="9" t="n">
        <v>364.85</v>
      </c>
      <c r="W143" s="9" t="n">
        <v>371.22</v>
      </c>
      <c r="X143" s="9" t="n">
        <v>376.85</v>
      </c>
      <c r="Y143" s="9" t="n">
        <v>367.29</v>
      </c>
      <c r="Z143" s="9" t="n">
        <v>397.9</v>
      </c>
      <c r="AA143" s="10" t="n">
        <v>98458950</v>
      </c>
      <c r="AB143" s="10" t="n">
        <v>97884675</v>
      </c>
      <c r="AC143" s="10" t="n">
        <v>97465725</v>
      </c>
      <c r="AD143" s="10" t="n">
        <v>94389150</v>
      </c>
      <c r="AE143" s="10" t="n">
        <v>109284675</v>
      </c>
      <c r="AF143" s="10" t="n">
        <v>35894325</v>
      </c>
      <c r="AG143" s="10" t="n">
        <v>49111200</v>
      </c>
      <c r="AH143" s="10" t="n">
        <v>30222825</v>
      </c>
      <c r="AI143" s="10" t="n">
        <v>44204925</v>
      </c>
    </row>
    <row r="144" customFormat="false" ht="15" hidden="false" customHeight="false" outlineLevel="0" collapsed="false">
      <c r="A144" s="3" t="n">
        <v>141</v>
      </c>
      <c r="B144" s="4" t="s">
        <v>178</v>
      </c>
      <c r="C144" s="5" t="n">
        <v>-10.27</v>
      </c>
      <c r="D144" s="6" t="n">
        <f aca="false">IFERROR(V144/W144-1,"")</f>
        <v>0.0170950323974082</v>
      </c>
      <c r="E144" s="6" t="n">
        <f aca="false">IFERROR(AA144/AB144-1,"")</f>
        <v>-0.0359390741424197</v>
      </c>
      <c r="F144" s="3" t="str">
        <f aca="false">IF(OR(D144="",E144=""),"n/a (new)",IF(D144&gt;=0,IF(E144&gt;=0,"Long Buildup","Short Covering"),IF(E144&gt;=0,"Short Buildup","Long Unwinding")))</f>
        <v>Short Covering</v>
      </c>
      <c r="G144" s="6" t="n">
        <f aca="false">IFERROR(V144/X144-1,"")</f>
        <v>-0.0410039710823745</v>
      </c>
      <c r="H144" s="6" t="n">
        <f aca="false">IFERROR(AA144/AC144-1,"")</f>
        <v>0.00131574857805905</v>
      </c>
      <c r="I144" s="3" t="str">
        <f aca="false">IF(OR(G144="",H144=""),"n/a (new)",IF(G144&gt;=0,IF(H144&gt;=0,"Long Buildup","Short Covering"),IF(H144&gt;=0,"Short Buildup","Long Unwinding")))</f>
        <v>Short Buildup</v>
      </c>
      <c r="J144" s="6" t="n">
        <f aca="false">IFERROR(V144/Y144-1,"")</f>
        <v>-0.014760340607151</v>
      </c>
      <c r="K144" s="6" t="n">
        <f aca="false">IFERROR(AA144/AD144-1,"")</f>
        <v>0.0783701158146073</v>
      </c>
      <c r="L144" s="3" t="str">
        <f aca="false">IF(OR(J144="",K144=""),"n/a (new)",IF(J144&gt;=0,IF(K144&gt;=0,"Long Buildup","Short Covering"),IF(K144&gt;=0,"Short Buildup","Long Unwinding")))</f>
        <v>Short Buildup</v>
      </c>
      <c r="M144" s="6" t="n">
        <f aca="false">IFERROR(V144/Z144-1,"")</f>
        <v>-0.0663858049167326</v>
      </c>
      <c r="N144" s="6" t="n">
        <f aca="false">IFERROR(AA144/AE144-1,"")</f>
        <v>0.0287277410565081</v>
      </c>
      <c r="O144" s="3" t="str">
        <f aca="false">IF(OR(M144="",N144=""),"n/a (new)",IF(M144&gt;=0,IF(N144&gt;=0,"Long Buildup","Short Covering"),IF(N144&gt;=0,"Short Buildup","Long Unwinding")))</f>
        <v>Short Buildup</v>
      </c>
      <c r="P144" s="7" t="n">
        <f aca="false">IFERROR(AF144/AG144,"")</f>
        <v>0.616945023541262</v>
      </c>
      <c r="Q144" s="7" t="n">
        <f aca="false">IFERROR(AH144/AI144,"")</f>
        <v>0.803947633434038</v>
      </c>
      <c r="V144" s="9" t="n">
        <v>941.83</v>
      </c>
      <c r="W144" s="9" t="n">
        <v>926</v>
      </c>
      <c r="X144" s="9" t="n">
        <v>982.1</v>
      </c>
      <c r="Y144" s="9" t="n">
        <v>955.94</v>
      </c>
      <c r="Z144" s="9" t="n">
        <v>1008.8</v>
      </c>
      <c r="AA144" s="10" t="n">
        <v>72487500</v>
      </c>
      <c r="AB144" s="10" t="n">
        <v>75189750</v>
      </c>
      <c r="AC144" s="10" t="n">
        <v>72392250</v>
      </c>
      <c r="AD144" s="10" t="n">
        <v>67219500</v>
      </c>
      <c r="AE144" s="10" t="n">
        <v>70463250</v>
      </c>
      <c r="AF144" s="10" t="n">
        <v>19753500</v>
      </c>
      <c r="AG144" s="10" t="n">
        <v>32018250</v>
      </c>
      <c r="AH144" s="10" t="n">
        <v>14968500</v>
      </c>
      <c r="AI144" s="10" t="n">
        <v>18618750</v>
      </c>
    </row>
    <row r="145" customFormat="false" ht="15" hidden="false" customHeight="false" outlineLevel="0" collapsed="false">
      <c r="A145" s="3" t="n">
        <v>142</v>
      </c>
      <c r="B145" s="4" t="s">
        <v>179</v>
      </c>
      <c r="C145" s="5" t="n">
        <v>-10.29</v>
      </c>
      <c r="D145" s="6" t="n">
        <f aca="false">IFERROR(V145/W145-1,"")</f>
        <v>-0.00554483599065714</v>
      </c>
      <c r="E145" s="6" t="n">
        <f aca="false">IFERROR(AA145/AB145-1,"")</f>
        <v>-0.0120349356990579</v>
      </c>
      <c r="F145" s="3" t="str">
        <f aca="false">IF(OR(D145="",E145=""),"n/a (new)",IF(D145&gt;=0,IF(E145&gt;=0,"Long Buildup","Short Covering"),IF(E145&gt;=0,"Short Buildup","Long Unwinding")))</f>
        <v>Long Unwinding</v>
      </c>
      <c r="G145" s="6" t="n">
        <f aca="false">IFERROR(V145/X145-1,"")</f>
        <v>-0.0600860016893188</v>
      </c>
      <c r="H145" s="6" t="n">
        <f aca="false">IFERROR(AA145/AC145-1,"")</f>
        <v>-0.00889962055881344</v>
      </c>
      <c r="I145" s="3" t="str">
        <f aca="false">IF(OR(G145="",H145=""),"n/a (new)",IF(G145&gt;=0,IF(H145&gt;=0,"Long Buildup","Short Covering"),IF(H145&gt;=0,"Short Buildup","Long Unwinding")))</f>
        <v>Long Unwinding</v>
      </c>
      <c r="J145" s="6" t="n">
        <f aca="false">IFERROR(V145/Y145-1,"")</f>
        <v>-0.0409762212559252</v>
      </c>
      <c r="K145" s="6" t="n">
        <f aca="false">IFERROR(AA145/AD145-1,"")</f>
        <v>0.0577234575173022</v>
      </c>
      <c r="L145" s="3" t="str">
        <f aca="false">IF(OR(J145="",K145=""),"n/a (new)",IF(J145&gt;=0,IF(K145&gt;=0,"Long Buildup","Short Covering"),IF(K145&gt;=0,"Short Buildup","Long Unwinding")))</f>
        <v>Short Buildup</v>
      </c>
      <c r="M145" s="6" t="n">
        <f aca="false">IFERROR(V145/Z145-1,"")</f>
        <v>-0.0588936301080228</v>
      </c>
      <c r="N145" s="6" t="n">
        <f aca="false">IFERROR(AA145/AE145-1,"")</f>
        <v>0.0693762096173887</v>
      </c>
      <c r="O145" s="3" t="str">
        <f aca="false">IF(OR(M145="",N145=""),"n/a (new)",IF(M145&gt;=0,IF(N145&gt;=0,"Long Buildup","Short Covering"),IF(N145&gt;=0,"Short Buildup","Long Unwinding")))</f>
        <v>Short Buildup</v>
      </c>
      <c r="P145" s="7" t="n">
        <f aca="false">IFERROR(AF145/AG145,"")</f>
        <v>0.4760098928277</v>
      </c>
      <c r="Q145" s="7" t="n">
        <f aca="false">IFERROR(AH145/AI145,"")</f>
        <v>0.740393852065322</v>
      </c>
      <c r="V145" s="9" t="n">
        <v>489.62</v>
      </c>
      <c r="W145" s="9" t="n">
        <v>492.35</v>
      </c>
      <c r="X145" s="9" t="n">
        <v>520.92</v>
      </c>
      <c r="Y145" s="9" t="n">
        <v>510.54</v>
      </c>
      <c r="Z145" s="9" t="n">
        <v>520.26</v>
      </c>
      <c r="AA145" s="10" t="n">
        <v>13647700</v>
      </c>
      <c r="AB145" s="10" t="n">
        <v>13813950</v>
      </c>
      <c r="AC145" s="10" t="n">
        <v>13770250</v>
      </c>
      <c r="AD145" s="10" t="n">
        <v>12902900</v>
      </c>
      <c r="AE145" s="10" t="n">
        <v>12762300</v>
      </c>
      <c r="AF145" s="10" t="n">
        <v>2742650</v>
      </c>
      <c r="AG145" s="10" t="n">
        <v>5761750</v>
      </c>
      <c r="AH145" s="10" t="n">
        <v>2928850</v>
      </c>
      <c r="AI145" s="10" t="n">
        <v>3955800</v>
      </c>
    </row>
    <row r="146" customFormat="false" ht="15" hidden="false" customHeight="false" outlineLevel="0" collapsed="false">
      <c r="A146" s="3" t="n">
        <v>143</v>
      </c>
      <c r="B146" s="4" t="s">
        <v>180</v>
      </c>
      <c r="C146" s="5" t="n">
        <v>-10.38</v>
      </c>
      <c r="D146" s="6" t="n">
        <f aca="false">IFERROR(V146/W146-1,"")</f>
        <v>0.00858106335215392</v>
      </c>
      <c r="E146" s="6" t="n">
        <f aca="false">IFERROR(AA146/AB146-1,"")</f>
        <v>0.00728834695857006</v>
      </c>
      <c r="F146" s="3" t="str">
        <f aca="false">IF(OR(D146="",E146=""),"n/a (new)",IF(D146&gt;=0,IF(E146&gt;=0,"Long Buildup","Short Covering"),IF(E146&gt;=0,"Short Buildup","Long Unwinding")))</f>
        <v>Long Buildup</v>
      </c>
      <c r="G146" s="6" t="n">
        <f aca="false">IFERROR(V146/X146-1,"")</f>
        <v>-0.0153320683111955</v>
      </c>
      <c r="H146" s="6" t="n">
        <f aca="false">IFERROR(AA146/AC146-1,"")</f>
        <v>0.01093032957864</v>
      </c>
      <c r="I146" s="3" t="str">
        <f aca="false">IF(OR(G146="",H146=""),"n/a (new)",IF(G146&gt;=0,IF(H146&gt;=0,"Long Buildup","Short Covering"),IF(H146&gt;=0,"Short Buildup","Long Unwinding")))</f>
        <v>Short Buildup</v>
      </c>
      <c r="J146" s="6" t="n">
        <f aca="false">IFERROR(V146/Y146-1,"")</f>
        <v>-0.0436387874394504</v>
      </c>
      <c r="K146" s="6" t="n">
        <f aca="false">IFERROR(AA146/AD146-1,"")</f>
        <v>0.127244534036285</v>
      </c>
      <c r="L146" s="3" t="str">
        <f aca="false">IF(OR(J146="",K146=""),"n/a (new)",IF(J146&gt;=0,IF(K146&gt;=0,"Long Buildup","Short Covering"),IF(K146&gt;=0,"Short Buildup","Long Unwinding")))</f>
        <v>Short Buildup</v>
      </c>
      <c r="M146" s="6" t="n">
        <f aca="false">IFERROR(V146/Z146-1,"")</f>
        <v>-0.0456936185864034</v>
      </c>
      <c r="N146" s="6" t="n">
        <f aca="false">IFERROR(AA146/AE146-1,"")</f>
        <v>0.0821077701696933</v>
      </c>
      <c r="O146" s="3" t="str">
        <f aca="false">IF(OR(M146="",N146=""),"n/a (new)",IF(M146&gt;=0,IF(N146&gt;=0,"Long Buildup","Short Covering"),IF(N146&gt;=0,"Short Buildup","Long Unwinding")))</f>
        <v>Short Buildup</v>
      </c>
      <c r="P146" s="7" t="n">
        <f aca="false">IFERROR(AF146/AG146,"")</f>
        <v>0.46740484821024</v>
      </c>
      <c r="Q146" s="7" t="n">
        <f aca="false">IFERROR(AH146/AI146,"")</f>
        <v>0.626706463766698</v>
      </c>
      <c r="V146" s="9" t="n">
        <v>3113.52</v>
      </c>
      <c r="W146" s="9" t="n">
        <v>3087.03</v>
      </c>
      <c r="X146" s="9" t="n">
        <v>3162</v>
      </c>
      <c r="Y146" s="9" t="n">
        <v>3255.59</v>
      </c>
      <c r="Z146" s="9" t="n">
        <v>3262.6</v>
      </c>
      <c r="AA146" s="10" t="n">
        <v>8178300</v>
      </c>
      <c r="AB146" s="10" t="n">
        <v>8119125</v>
      </c>
      <c r="AC146" s="10" t="n">
        <v>8089875</v>
      </c>
      <c r="AD146" s="10" t="n">
        <v>7255125</v>
      </c>
      <c r="AE146" s="10" t="n">
        <v>7557750</v>
      </c>
      <c r="AF146" s="10" t="n">
        <v>3713625</v>
      </c>
      <c r="AG146" s="10" t="n">
        <v>7945200</v>
      </c>
      <c r="AH146" s="10" t="n">
        <v>2881800</v>
      </c>
      <c r="AI146" s="10" t="n">
        <v>4598325</v>
      </c>
    </row>
    <row r="147" customFormat="false" ht="15" hidden="false" customHeight="false" outlineLevel="0" collapsed="false">
      <c r="A147" s="3" t="n">
        <v>144</v>
      </c>
      <c r="B147" s="4" t="s">
        <v>181</v>
      </c>
      <c r="C147" s="5" t="n">
        <v>-10.4</v>
      </c>
      <c r="D147" s="6" t="n">
        <f aca="false">IFERROR(V147/W147-1,"")</f>
        <v>-0.0108970499698976</v>
      </c>
      <c r="E147" s="6" t="n">
        <f aca="false">IFERROR(AA147/AB147-1,"")</f>
        <v>-0.0259611658845309</v>
      </c>
      <c r="F147" s="3" t="str">
        <f aca="false">IF(OR(D147="",E147=""),"n/a (new)",IF(D147&gt;=0,IF(E147&gt;=0,"Long Buildup","Short Covering"),IF(E147&gt;=0,"Short Buildup","Long Unwinding")))</f>
        <v>Long Unwinding</v>
      </c>
      <c r="G147" s="6" t="n">
        <f aca="false">IFERROR(V147/X147-1,"")</f>
        <v>-0.00839565188524927</v>
      </c>
      <c r="H147" s="6" t="n">
        <f aca="false">IFERROR(AA147/AC147-1,"")</f>
        <v>-0.0384223053383203</v>
      </c>
      <c r="I147" s="3" t="str">
        <f aca="false">IF(OR(G147="",H147=""),"n/a (new)",IF(G147&gt;=0,IF(H147&gt;=0,"Long Buildup","Short Covering"),IF(H147&gt;=0,"Short Buildup","Long Unwinding")))</f>
        <v>Long Unwinding</v>
      </c>
      <c r="J147" s="6" t="n">
        <f aca="false">IFERROR(V147/Y147-1,"")</f>
        <v>-0.0235480113163588</v>
      </c>
      <c r="K147" s="6" t="n">
        <f aca="false">IFERROR(AA147/AD147-1,"")</f>
        <v>0.106091718001369</v>
      </c>
      <c r="L147" s="3" t="str">
        <f aca="false">IF(OR(J147="",K147=""),"n/a (new)",IF(J147&gt;=0,IF(K147&gt;=0,"Long Buildup","Short Covering"),IF(K147&gt;=0,"Short Buildup","Long Unwinding")))</f>
        <v>Short Buildup</v>
      </c>
      <c r="M147" s="6" t="n">
        <f aca="false">IFERROR(V147/Z147-1,"")</f>
        <v>-0.0645622306111177</v>
      </c>
      <c r="N147" s="6" t="n">
        <f aca="false">IFERROR(AA147/AE147-1,"")</f>
        <v>0.103878994876799</v>
      </c>
      <c r="O147" s="3" t="str">
        <f aca="false">IF(OR(M147="",N147=""),"n/a (new)",IF(M147&gt;=0,IF(N147&gt;=0,"Long Buildup","Short Covering"),IF(N147&gt;=0,"Short Buildup","Long Unwinding")))</f>
        <v>Short Buildup</v>
      </c>
      <c r="P147" s="7" t="n">
        <f aca="false">IFERROR(AF147/AG147,"")</f>
        <v>0.601758793969849</v>
      </c>
      <c r="Q147" s="7" t="n">
        <f aca="false">IFERROR(AH147/AI147,"")</f>
        <v>0.713220675944334</v>
      </c>
      <c r="V147" s="9" t="n">
        <v>1642.9</v>
      </c>
      <c r="W147" s="9" t="n">
        <v>1661</v>
      </c>
      <c r="X147" s="9" t="n">
        <v>1656.81</v>
      </c>
      <c r="Y147" s="9" t="n">
        <v>1682.52</v>
      </c>
      <c r="Z147" s="9" t="n">
        <v>1756.29</v>
      </c>
      <c r="AA147" s="10" t="n">
        <v>8484000</v>
      </c>
      <c r="AB147" s="10" t="n">
        <v>8710125</v>
      </c>
      <c r="AC147" s="10" t="n">
        <v>8823000</v>
      </c>
      <c r="AD147" s="10" t="n">
        <v>7670250</v>
      </c>
      <c r="AE147" s="10" t="n">
        <v>7685625</v>
      </c>
      <c r="AF147" s="10" t="n">
        <v>1257375</v>
      </c>
      <c r="AG147" s="10" t="n">
        <v>2089500</v>
      </c>
      <c r="AH147" s="10" t="n">
        <v>1076250</v>
      </c>
      <c r="AI147" s="10" t="n">
        <v>1509000</v>
      </c>
    </row>
    <row r="148" customFormat="false" ht="15" hidden="false" customHeight="false" outlineLevel="0" collapsed="false">
      <c r="A148" s="3" t="n">
        <v>145</v>
      </c>
      <c r="B148" s="4" t="s">
        <v>182</v>
      </c>
      <c r="C148" s="5" t="n">
        <v>-10.44</v>
      </c>
      <c r="D148" s="6" t="n">
        <f aca="false">IFERROR(V148/W148-1,"")</f>
        <v>-0.00986097639831884</v>
      </c>
      <c r="E148" s="6" t="n">
        <f aca="false">IFERROR(AA148/AB148-1,"")</f>
        <v>-0.0371272291323242</v>
      </c>
      <c r="F148" s="3" t="str">
        <f aca="false">IF(OR(D148="",E148=""),"n/a (new)",IF(D148&gt;=0,IF(E148&gt;=0,"Long Buildup","Short Covering"),IF(E148&gt;=0,"Short Buildup","Long Unwinding")))</f>
        <v>Long Unwinding</v>
      </c>
      <c r="G148" s="6" t="n">
        <f aca="false">IFERROR(V148/X148-1,"")</f>
        <v>-0.0481000854767271</v>
      </c>
      <c r="H148" s="6" t="n">
        <f aca="false">IFERROR(AA148/AC148-1,"")</f>
        <v>0.0273824752158618</v>
      </c>
      <c r="I148" s="3" t="str">
        <f aca="false">IF(OR(G148="",H148=""),"n/a (new)",IF(G148&gt;=0,IF(H148&gt;=0,"Long Buildup","Short Covering"),IF(H148&gt;=0,"Short Buildup","Long Unwinding")))</f>
        <v>Short Buildup</v>
      </c>
      <c r="J148" s="6" t="n">
        <f aca="false">IFERROR(V148/Y148-1,"")</f>
        <v>-0.0262321144674086</v>
      </c>
      <c r="K148" s="6" t="n">
        <f aca="false">IFERROR(AA148/AD148-1,"")</f>
        <v>0.00312243862456585</v>
      </c>
      <c r="L148" s="3" t="str">
        <f aca="false">IF(OR(J148="",K148=""),"n/a (new)",IF(J148&gt;=0,IF(K148&gt;=0,"Long Buildup","Short Covering"),IF(K148&gt;=0,"Short Buildup","Long Unwinding")))</f>
        <v>Short Buildup</v>
      </c>
      <c r="M148" s="6" t="n">
        <f aca="false">IFERROR(V148/Z148-1,"")</f>
        <v>-0.091246290801187</v>
      </c>
      <c r="N148" s="6" t="n">
        <f aca="false">IFERROR(AA148/AE148-1,"")</f>
        <v>-0.0942378854625551</v>
      </c>
      <c r="O148" s="3" t="str">
        <f aca="false">IF(OR(M148="",N148=""),"n/a (new)",IF(M148&gt;=0,IF(N148&gt;=0,"Long Buildup","Short Covering"),IF(N148&gt;=0,"Short Buildup","Long Unwinding")))</f>
        <v>Long Unwinding</v>
      </c>
      <c r="P148" s="7" t="n">
        <f aca="false">IFERROR(AF148/AG148,"")</f>
        <v>0.888526579206795</v>
      </c>
      <c r="Q148" s="7" t="n">
        <f aca="false">IFERROR(AH148/AI148,"")</f>
        <v>0.878774303377834</v>
      </c>
      <c r="V148" s="9" t="n">
        <v>1225</v>
      </c>
      <c r="W148" s="9" t="n">
        <v>1237.2</v>
      </c>
      <c r="X148" s="9" t="n">
        <v>1286.9</v>
      </c>
      <c r="Y148" s="9" t="n">
        <v>1258</v>
      </c>
      <c r="Z148" s="9" t="n">
        <v>1348</v>
      </c>
      <c r="AA148" s="10" t="n">
        <v>12207975</v>
      </c>
      <c r="AB148" s="10" t="n">
        <v>12678700</v>
      </c>
      <c r="AC148" s="10" t="n">
        <v>11882600</v>
      </c>
      <c r="AD148" s="10" t="n">
        <v>12169975</v>
      </c>
      <c r="AE148" s="10" t="n">
        <v>13478125</v>
      </c>
      <c r="AF148" s="10" t="n">
        <v>5565575</v>
      </c>
      <c r="AG148" s="10" t="n">
        <v>6263825</v>
      </c>
      <c r="AH148" s="10" t="n">
        <v>4658800</v>
      </c>
      <c r="AI148" s="10" t="n">
        <v>5301475</v>
      </c>
    </row>
    <row r="149" customFormat="false" ht="15" hidden="false" customHeight="false" outlineLevel="0" collapsed="false">
      <c r="A149" s="3" t="n">
        <v>146</v>
      </c>
      <c r="B149" s="4" t="s">
        <v>183</v>
      </c>
      <c r="C149" s="5" t="n">
        <v>-10.46</v>
      </c>
      <c r="D149" s="6" t="n">
        <f aca="false">IFERROR(V149/W149-1,"")</f>
        <v>-0.0375871719007354</v>
      </c>
      <c r="E149" s="6" t="n">
        <f aca="false">IFERROR(AA149/AB149-1,"")</f>
        <v>-0.0511505148507491</v>
      </c>
      <c r="F149" s="3" t="str">
        <f aca="false">IF(OR(D149="",E149=""),"n/a (new)",IF(D149&gt;=0,IF(E149&gt;=0,"Long Buildup","Short Covering"),IF(E149&gt;=0,"Short Buildup","Long Unwinding")))</f>
        <v>Long Unwinding</v>
      </c>
      <c r="G149" s="6" t="n">
        <f aca="false">IFERROR(V149/X149-1,"")</f>
        <v>-0.0809649244419797</v>
      </c>
      <c r="H149" s="6" t="n">
        <f aca="false">IFERROR(AA149/AC149-1,"")</f>
        <v>0.0162844401974838</v>
      </c>
      <c r="I149" s="3" t="str">
        <f aca="false">IF(OR(G149="",H149=""),"n/a (new)",IF(G149&gt;=0,IF(H149&gt;=0,"Long Buildup","Short Covering"),IF(H149&gt;=0,"Short Buildup","Long Unwinding")))</f>
        <v>Short Buildup</v>
      </c>
      <c r="J149" s="6" t="n">
        <f aca="false">IFERROR(V149/Y149-1,"")</f>
        <v>-0.033964824120603</v>
      </c>
      <c r="K149" s="6" t="n">
        <f aca="false">IFERROR(AA149/AD149-1,"")</f>
        <v>-0.0026180056267584</v>
      </c>
      <c r="L149" s="3" t="str">
        <f aca="false">IF(OR(J149="",K149=""),"n/a (new)",IF(J149&gt;=0,IF(K149&gt;=0,"Long Buildup","Short Covering"),IF(K149&gt;=0,"Short Buildup","Long Unwinding")))</f>
        <v>Long Unwinding</v>
      </c>
      <c r="M149" s="6" t="n">
        <f aca="false">IFERROR(V149/Z149-1,"")</f>
        <v>-0.127763157894737</v>
      </c>
      <c r="N149" s="6" t="n">
        <f aca="false">IFERROR(AA149/AE149-1,"")</f>
        <v>-0.0688724327873637</v>
      </c>
      <c r="O149" s="3" t="str">
        <f aca="false">IF(OR(M149="",N149=""),"n/a (new)",IF(M149&gt;=0,IF(N149&gt;=0,"Long Buildup","Short Covering"),IF(N149&gt;=0,"Short Buildup","Long Unwinding")))</f>
        <v>Long Unwinding</v>
      </c>
      <c r="P149" s="7" t="n">
        <f aca="false">IFERROR(AF149/AG149,"")</f>
        <v>0.781390134529148</v>
      </c>
      <c r="Q149" s="7" t="n">
        <f aca="false">IFERROR(AH149/AI149,"")</f>
        <v>0.71764174384459</v>
      </c>
      <c r="V149" s="9" t="n">
        <v>1922.41</v>
      </c>
      <c r="W149" s="9" t="n">
        <v>1997.49</v>
      </c>
      <c r="X149" s="9" t="n">
        <v>2091.77</v>
      </c>
      <c r="Y149" s="9" t="n">
        <v>1990</v>
      </c>
      <c r="Z149" s="9" t="n">
        <v>2204</v>
      </c>
      <c r="AA149" s="10" t="n">
        <v>5743125</v>
      </c>
      <c r="AB149" s="10" t="n">
        <v>6052725</v>
      </c>
      <c r="AC149" s="10" t="n">
        <v>5651100</v>
      </c>
      <c r="AD149" s="10" t="n">
        <v>5758200</v>
      </c>
      <c r="AE149" s="10" t="n">
        <v>6167925</v>
      </c>
      <c r="AF149" s="10" t="n">
        <v>2666025</v>
      </c>
      <c r="AG149" s="10" t="n">
        <v>3411900</v>
      </c>
      <c r="AH149" s="10" t="n">
        <v>2144475</v>
      </c>
      <c r="AI149" s="10" t="n">
        <v>2988225</v>
      </c>
    </row>
    <row r="150" customFormat="false" ht="15" hidden="false" customHeight="false" outlineLevel="0" collapsed="false">
      <c r="A150" s="3" t="n">
        <v>147</v>
      </c>
      <c r="B150" s="4" t="s">
        <v>184</v>
      </c>
      <c r="C150" s="5" t="n">
        <v>-10.65</v>
      </c>
      <c r="D150" s="6" t="n">
        <f aca="false">IFERROR(V150/W150-1,"")</f>
        <v>0.000256198347107439</v>
      </c>
      <c r="E150" s="6" t="n">
        <f aca="false">IFERROR(AA150/AB150-1,"")</f>
        <v>0.00315259288449932</v>
      </c>
      <c r="F150" s="3" t="str">
        <f aca="false">IF(OR(D150="",E150=""),"n/a (new)",IF(D150&gt;=0,IF(E150&gt;=0,"Long Buildup","Short Covering"),IF(E150&gt;=0,"Short Buildup","Long Unwinding")))</f>
        <v>Long Buildup</v>
      </c>
      <c r="G150" s="6" t="n">
        <f aca="false">IFERROR(V150/X150-1,"")</f>
        <v>-0.0617461006542839</v>
      </c>
      <c r="H150" s="6" t="n">
        <f aca="false">IFERROR(AA150/AC150-1,"")</f>
        <v>0.0240039220862482</v>
      </c>
      <c r="I150" s="3" t="str">
        <f aca="false">IF(OR(G150="",H150=""),"n/a (new)",IF(G150&gt;=0,IF(H150&gt;=0,"Long Buildup","Short Covering"),IF(H150&gt;=0,"Short Buildup","Long Unwinding")))</f>
        <v>Short Buildup</v>
      </c>
      <c r="J150" s="6" t="n">
        <f aca="false">IFERROR(V150/Y150-1,"")</f>
        <v>-0.0282381090021518</v>
      </c>
      <c r="K150" s="6" t="n">
        <f aca="false">IFERROR(AA150/AD150-1,"")</f>
        <v>0.0526050550472941</v>
      </c>
      <c r="L150" s="3" t="str">
        <f aca="false">IF(OR(J150="",K150=""),"n/a (new)",IF(J150&gt;=0,IF(K150&gt;=0,"Long Buildup","Short Covering"),IF(K150&gt;=0,"Short Buildup","Long Unwinding")))</f>
        <v>Short Buildup</v>
      </c>
      <c r="M150" s="6" t="n">
        <f aca="false">IFERROR(V150/Z150-1,"")</f>
        <v>-0.0260642150156917</v>
      </c>
      <c r="N150" s="6" t="n">
        <f aca="false">IFERROR(AA150/AE150-1,"")</f>
        <v>0.083944883932908</v>
      </c>
      <c r="O150" s="3" t="str">
        <f aca="false">IF(OR(M150="",N150=""),"n/a (new)",IF(M150&gt;=0,IF(N150&gt;=0,"Long Buildup","Short Covering"),IF(N150&gt;=0,"Short Buildup","Long Unwinding")))</f>
        <v>Short Buildup</v>
      </c>
      <c r="P150" s="7" t="n">
        <f aca="false">IFERROR(AF150/AG150,"")</f>
        <v>0.52851610776963</v>
      </c>
      <c r="Q150" s="7" t="n">
        <f aca="false">IFERROR(AH150/AI150,"")</f>
        <v>0.574987799553078</v>
      </c>
      <c r="R150" s="8" t="n">
        <v>-0.00749773420120303</v>
      </c>
      <c r="S150" s="8" t="n">
        <v>0.0723492800058925</v>
      </c>
      <c r="T150" s="5" t="s">
        <v>38</v>
      </c>
      <c r="V150" s="9" t="n">
        <v>1210.31</v>
      </c>
      <c r="W150" s="9" t="n">
        <v>1210</v>
      </c>
      <c r="X150" s="9" t="n">
        <v>1289.96</v>
      </c>
      <c r="Y150" s="9" t="n">
        <v>1245.48</v>
      </c>
      <c r="Z150" s="9" t="n">
        <v>1242.7</v>
      </c>
      <c r="AA150" s="10" t="n">
        <v>101823750</v>
      </c>
      <c r="AB150" s="10" t="n">
        <v>101503750</v>
      </c>
      <c r="AC150" s="10" t="n">
        <v>99436875</v>
      </c>
      <c r="AD150" s="10" t="n">
        <v>96735000</v>
      </c>
      <c r="AE150" s="10" t="n">
        <v>93938125</v>
      </c>
      <c r="AF150" s="10" t="n">
        <v>20045625</v>
      </c>
      <c r="AG150" s="10" t="n">
        <v>37928125</v>
      </c>
      <c r="AH150" s="10" t="n">
        <v>13991250</v>
      </c>
      <c r="AI150" s="10" t="n">
        <v>24333125</v>
      </c>
    </row>
    <row r="151" customFormat="false" ht="15" hidden="false" customHeight="false" outlineLevel="0" collapsed="false">
      <c r="A151" s="3" t="n">
        <v>148</v>
      </c>
      <c r="B151" s="4" t="s">
        <v>185</v>
      </c>
      <c r="C151" s="5" t="n">
        <v>-10.82</v>
      </c>
      <c r="D151" s="6" t="n">
        <f aca="false">IFERROR(V151/W151-1,"")</f>
        <v>-0.00826584857978308</v>
      </c>
      <c r="E151" s="6" t="n">
        <f aca="false">IFERROR(AA151/AB151-1,"")</f>
        <v>-0.130465387876558</v>
      </c>
      <c r="F151" s="3" t="str">
        <f aca="false">IF(OR(D151="",E151=""),"n/a (new)",IF(D151&gt;=0,IF(E151&gt;=0,"Long Buildup","Short Covering"),IF(E151&gt;=0,"Short Buildup","Long Unwinding")))</f>
        <v>Long Unwinding</v>
      </c>
      <c r="G151" s="6" t="n">
        <f aca="false">IFERROR(V151/X151-1,"")</f>
        <v>-0.0605764204879274</v>
      </c>
      <c r="H151" s="6" t="n">
        <f aca="false">IFERROR(AA151/AC151-1,"")</f>
        <v>-0.0749697908334326</v>
      </c>
      <c r="I151" s="3" t="str">
        <f aca="false">IF(OR(G151="",H151=""),"n/a (new)",IF(G151&gt;=0,IF(H151&gt;=0,"Long Buildup","Short Covering"),IF(H151&gt;=0,"Short Buildup","Long Unwinding")))</f>
        <v>Long Unwinding</v>
      </c>
      <c r="J151" s="6" t="n">
        <f aca="false">IFERROR(V151/Y151-1,"")</f>
        <v>-0.083615344907863</v>
      </c>
      <c r="K151" s="6" t="n">
        <f aca="false">IFERROR(AA151/AD151-1,"")</f>
        <v>0.0119719227689958</v>
      </c>
      <c r="L151" s="3" t="str">
        <f aca="false">IF(OR(J151="",K151=""),"n/a (new)",IF(J151&gt;=0,IF(K151&gt;=0,"Long Buildup","Short Covering"),IF(K151&gt;=0,"Short Buildup","Long Unwinding")))</f>
        <v>Short Buildup</v>
      </c>
      <c r="M151" s="6" t="n">
        <f aca="false">IFERROR(V151/Z151-1,"")</f>
        <v>-0.114019768715354</v>
      </c>
      <c r="N151" s="6" t="n">
        <f aca="false">IFERROR(AA151/AE151-1,"")</f>
        <v>-0.210344326601773</v>
      </c>
      <c r="O151" s="3" t="str">
        <f aca="false">IF(OR(M151="",N151=""),"n/a (new)",IF(M151&gt;=0,IF(N151&gt;=0,"Long Buildup","Short Covering"),IF(N151&gt;=0,"Short Buildup","Long Unwinding")))</f>
        <v>Long Unwinding</v>
      </c>
      <c r="P151" s="7" t="n">
        <f aca="false">IFERROR(AF151/AG151,"")</f>
        <v>0.501928135454708</v>
      </c>
      <c r="Q151" s="7" t="n">
        <f aca="false">IFERROR(AH151/AI151,"")</f>
        <v>0.713888537849109</v>
      </c>
      <c r="V151" s="9" t="n">
        <v>11592.44</v>
      </c>
      <c r="W151" s="9" t="n">
        <v>11689.06</v>
      </c>
      <c r="X151" s="9" t="n">
        <v>12339.95</v>
      </c>
      <c r="Y151" s="9" t="n">
        <v>12650.19</v>
      </c>
      <c r="Z151" s="9" t="n">
        <v>13084.31</v>
      </c>
      <c r="AA151" s="10" t="n">
        <v>2717600</v>
      </c>
      <c r="AB151" s="10" t="n">
        <v>3125350</v>
      </c>
      <c r="AC151" s="10" t="n">
        <v>2937850</v>
      </c>
      <c r="AD151" s="10" t="n">
        <v>2685450</v>
      </c>
      <c r="AE151" s="10" t="n">
        <v>3441500</v>
      </c>
      <c r="AF151" s="10" t="n">
        <v>982700</v>
      </c>
      <c r="AG151" s="10" t="n">
        <v>1957850</v>
      </c>
      <c r="AH151" s="10" t="n">
        <v>847350</v>
      </c>
      <c r="AI151" s="10" t="n">
        <v>1186950</v>
      </c>
    </row>
    <row r="152" customFormat="false" ht="15" hidden="false" customHeight="false" outlineLevel="0" collapsed="false">
      <c r="A152" s="3" t="n">
        <v>149</v>
      </c>
      <c r="B152" s="4" t="s">
        <v>186</v>
      </c>
      <c r="C152" s="5" t="n">
        <v>-11.11</v>
      </c>
      <c r="D152" s="6" t="n">
        <f aca="false">IFERROR(V152/W152-1,"")</f>
        <v>0.00450676690713281</v>
      </c>
      <c r="E152" s="6" t="n">
        <f aca="false">IFERROR(AA152/AB152-1,"")</f>
        <v>0.00398282407119299</v>
      </c>
      <c r="F152" s="3" t="str">
        <f aca="false">IF(OR(D152="",E152=""),"n/a (new)",IF(D152&gt;=0,IF(E152&gt;=0,"Long Buildup","Short Covering"),IF(E152&gt;=0,"Short Buildup","Long Unwinding")))</f>
        <v>Long Buildup</v>
      </c>
      <c r="G152" s="6" t="n">
        <f aca="false">IFERROR(V152/X152-1,"")</f>
        <v>-0.0321201559892449</v>
      </c>
      <c r="H152" s="6" t="n">
        <f aca="false">IFERROR(AA152/AC152-1,"")</f>
        <v>0.015963978714695</v>
      </c>
      <c r="I152" s="3" t="str">
        <f aca="false">IF(OR(G152="",H152=""),"n/a (new)",IF(G152&gt;=0,IF(H152&gt;=0,"Long Buildup","Short Covering"),IF(H152&gt;=0,"Short Buildup","Long Unwinding")))</f>
        <v>Short Buildup</v>
      </c>
      <c r="J152" s="6" t="n">
        <f aca="false">IFERROR(V152/Y152-1,"")</f>
        <v>-0.0592503533084435</v>
      </c>
      <c r="K152" s="6" t="n">
        <f aca="false">IFERROR(AA152/AD152-1,"")</f>
        <v>0.0409058648945093</v>
      </c>
      <c r="L152" s="3" t="str">
        <f aca="false">IF(OR(J152="",K152=""),"n/a (new)",IF(J152&gt;=0,IF(K152&gt;=0,"Long Buildup","Short Covering"),IF(K152&gt;=0,"Short Buildup","Long Unwinding")))</f>
        <v>Short Buildup</v>
      </c>
      <c r="M152" s="6" t="n">
        <f aca="false">IFERROR(V152/Z152-1,"")</f>
        <v>-0.101261256904268</v>
      </c>
      <c r="N152" s="6" t="n">
        <f aca="false">IFERROR(AA152/AE152-1,"")</f>
        <v>0.0355274559517313</v>
      </c>
      <c r="O152" s="3" t="str">
        <f aca="false">IF(OR(M152="",N152=""),"n/a (new)",IF(M152&gt;=0,IF(N152&gt;=0,"Long Buildup","Short Covering"),IF(N152&gt;=0,"Short Buildup","Long Unwinding")))</f>
        <v>Short Buildup</v>
      </c>
      <c r="P152" s="7" t="n">
        <f aca="false">IFERROR(AF152/AG152,"")</f>
        <v>0.744182389937107</v>
      </c>
      <c r="Q152" s="7" t="n">
        <f aca="false">IFERROR(AH152/AI152,"")</f>
        <v>0.939938920936546</v>
      </c>
      <c r="V152" s="9" t="n">
        <v>4460</v>
      </c>
      <c r="W152" s="9" t="n">
        <v>4439.99</v>
      </c>
      <c r="X152" s="9" t="n">
        <v>4608.01</v>
      </c>
      <c r="Y152" s="9" t="n">
        <v>4740.9</v>
      </c>
      <c r="Z152" s="9" t="n">
        <v>4962.51</v>
      </c>
      <c r="AA152" s="10" t="n">
        <v>6453200</v>
      </c>
      <c r="AB152" s="10" t="n">
        <v>6427600</v>
      </c>
      <c r="AC152" s="10" t="n">
        <v>6351800</v>
      </c>
      <c r="AD152" s="10" t="n">
        <v>6199600</v>
      </c>
      <c r="AE152" s="10" t="n">
        <v>6231800</v>
      </c>
      <c r="AF152" s="10" t="n">
        <v>946600</v>
      </c>
      <c r="AG152" s="10" t="n">
        <v>1272000</v>
      </c>
      <c r="AH152" s="10" t="n">
        <v>554000</v>
      </c>
      <c r="AI152" s="10" t="n">
        <v>589400</v>
      </c>
    </row>
    <row r="153" customFormat="false" ht="15" hidden="false" customHeight="false" outlineLevel="0" collapsed="false">
      <c r="A153" s="3" t="n">
        <v>150</v>
      </c>
      <c r="B153" s="4" t="s">
        <v>187</v>
      </c>
      <c r="C153" s="5" t="n">
        <v>-11.17</v>
      </c>
      <c r="D153" s="6" t="n">
        <f aca="false">IFERROR(V153/W153-1,"")</f>
        <v>-0.0164140071864436</v>
      </c>
      <c r="E153" s="6" t="n">
        <f aca="false">IFERROR(AA153/AB153-1,"")</f>
        <v>0.0235582757347121</v>
      </c>
      <c r="F153" s="3" t="str">
        <f aca="false">IF(OR(D153="",E153=""),"n/a (new)",IF(D153&gt;=0,IF(E153&gt;=0,"Long Buildup","Short Covering"),IF(E153&gt;=0,"Short Buildup","Long Unwinding")))</f>
        <v>Short Buildup</v>
      </c>
      <c r="G153" s="6" t="n">
        <f aca="false">IFERROR(V153/X153-1,"")</f>
        <v>-0.0618650082806638</v>
      </c>
      <c r="H153" s="6" t="n">
        <f aca="false">IFERROR(AA153/AC153-1,"")</f>
        <v>0.0314219634739612</v>
      </c>
      <c r="I153" s="3" t="str">
        <f aca="false">IF(OR(G153="",H153=""),"n/a (new)",IF(G153&gt;=0,IF(H153&gt;=0,"Long Buildup","Short Covering"),IF(H153&gt;=0,"Short Buildup","Long Unwinding")))</f>
        <v>Short Buildup</v>
      </c>
      <c r="J153" s="6" t="n">
        <f aca="false">IFERROR(V153/Y153-1,"")</f>
        <v>-0.0351336413219177</v>
      </c>
      <c r="K153" s="6" t="n">
        <f aca="false">IFERROR(AA153/AD153-1,"")</f>
        <v>0.0129493773333682</v>
      </c>
      <c r="L153" s="3" t="str">
        <f aca="false">IF(OR(J153="",K153=""),"n/a (new)",IF(J153&gt;=0,IF(K153&gt;=0,"Long Buildup","Short Covering"),IF(K153&gt;=0,"Short Buildup","Long Unwinding")))</f>
        <v>Short Buildup</v>
      </c>
      <c r="M153" s="6" t="n">
        <f aca="false">IFERROR(V153/Z153-1,"")</f>
        <v>-0.00258009802935144</v>
      </c>
      <c r="N153" s="6" t="n">
        <f aca="false">IFERROR(AA153/AE153-1,"")</f>
        <v>-0.139959656861658</v>
      </c>
      <c r="O153" s="3" t="str">
        <f aca="false">IF(OR(M153="",N153=""),"n/a (new)",IF(M153&gt;=0,IF(N153&gt;=0,"Long Buildup","Short Covering"),IF(N153&gt;=0,"Short Buildup","Long Unwinding")))</f>
        <v>Long Unwinding</v>
      </c>
      <c r="P153" s="7" t="n">
        <f aca="false">IFERROR(AF153/AG153,"")</f>
        <v>0.756834407104301</v>
      </c>
      <c r="Q153" s="7" t="n">
        <f aca="false">IFERROR(AH153/AI153,"")</f>
        <v>0.844671884406984</v>
      </c>
      <c r="V153" s="9" t="n">
        <v>2775.66</v>
      </c>
      <c r="W153" s="9" t="n">
        <v>2821.98</v>
      </c>
      <c r="X153" s="9" t="n">
        <v>2958.7</v>
      </c>
      <c r="Y153" s="9" t="n">
        <v>2876.73</v>
      </c>
      <c r="Z153" s="9" t="n">
        <v>2782.84</v>
      </c>
      <c r="AA153" s="10" t="n">
        <v>8729775</v>
      </c>
      <c r="AB153" s="10" t="n">
        <v>8528850</v>
      </c>
      <c r="AC153" s="10" t="n">
        <v>8463825</v>
      </c>
      <c r="AD153" s="10" t="n">
        <v>8618175</v>
      </c>
      <c r="AE153" s="10" t="n">
        <v>10150425</v>
      </c>
      <c r="AF153" s="10" t="n">
        <v>3911850</v>
      </c>
      <c r="AG153" s="10" t="n">
        <v>5168700</v>
      </c>
      <c r="AH153" s="10" t="n">
        <v>4419450</v>
      </c>
      <c r="AI153" s="10" t="n">
        <v>5232150</v>
      </c>
    </row>
    <row r="154" customFormat="false" ht="15" hidden="false" customHeight="false" outlineLevel="0" collapsed="false">
      <c r="A154" s="3" t="n">
        <v>151</v>
      </c>
      <c r="B154" s="4" t="s">
        <v>188</v>
      </c>
      <c r="C154" s="5" t="n">
        <v>-11.17</v>
      </c>
      <c r="D154" s="6" t="n">
        <f aca="false">IFERROR(V154/W154-1,"")</f>
        <v>-0.0186131983472472</v>
      </c>
      <c r="E154" s="6" t="n">
        <f aca="false">IFERROR(AA154/AB154-1,"")</f>
        <v>0.0469435130255351</v>
      </c>
      <c r="F154" s="3" t="str">
        <f aca="false">IF(OR(D154="",E154=""),"n/a (new)",IF(D154&gt;=0,IF(E154&gt;=0,"Long Buildup","Short Covering"),IF(E154&gt;=0,"Short Buildup","Long Unwinding")))</f>
        <v>Short Buildup</v>
      </c>
      <c r="G154" s="6" t="n">
        <f aca="false">IFERROR(V154/X154-1,"")</f>
        <v>-0.0512316076294278</v>
      </c>
      <c r="H154" s="6" t="n">
        <f aca="false">IFERROR(AA154/AC154-1,"")</f>
        <v>0.0613845852127868</v>
      </c>
      <c r="I154" s="3" t="str">
        <f aca="false">IF(OR(G154="",H154=""),"n/a (new)",IF(G154&gt;=0,IF(H154&gt;=0,"Long Buildup","Short Covering"),IF(H154&gt;=0,"Short Buildup","Long Unwinding")))</f>
        <v>Short Buildup</v>
      </c>
      <c r="J154" s="6" t="n">
        <f aca="false">IFERROR(V154/Y154-1,"")</f>
        <v>-0.0277057969395733</v>
      </c>
      <c r="K154" s="6" t="n">
        <f aca="false">IFERROR(AA154/AD154-1,"")</f>
        <v>-0.0339164584077115</v>
      </c>
      <c r="L154" s="3" t="str">
        <f aca="false">IF(OR(J154="",K154=""),"n/a (new)",IF(J154&gt;=0,IF(K154&gt;=0,"Long Buildup","Short Covering"),IF(K154&gt;=0,"Short Buildup","Long Unwinding")))</f>
        <v>Long Unwinding</v>
      </c>
      <c r="M154" s="6" t="n">
        <f aca="false">IFERROR(V154/Z154-1,"")</f>
        <v>-0.133404678944749</v>
      </c>
      <c r="N154" s="6" t="n">
        <f aca="false">IFERROR(AA154/AE154-1,"")</f>
        <v>-0.101195748449956</v>
      </c>
      <c r="O154" s="3" t="str">
        <f aca="false">IF(OR(M154="",N154=""),"n/a (new)",IF(M154&gt;=0,IF(N154&gt;=0,"Long Buildup","Short Covering"),IF(N154&gt;=0,"Short Buildup","Long Unwinding")))</f>
        <v>Long Unwinding</v>
      </c>
      <c r="P154" s="7" t="n">
        <f aca="false">IFERROR(AF154/AG154,"")</f>
        <v>0.755221386800334</v>
      </c>
      <c r="Q154" s="7" t="n">
        <f aca="false">IFERROR(AH154/AI154,"")</f>
        <v>0.993772092240364</v>
      </c>
      <c r="V154" s="9" t="n">
        <v>1740.99</v>
      </c>
      <c r="W154" s="9" t="n">
        <v>1774.01</v>
      </c>
      <c r="X154" s="9" t="n">
        <v>1835</v>
      </c>
      <c r="Y154" s="9" t="n">
        <v>1790.6</v>
      </c>
      <c r="Z154" s="9" t="n">
        <v>2009</v>
      </c>
      <c r="AA154" s="10" t="n">
        <v>8118000</v>
      </c>
      <c r="AB154" s="10" t="n">
        <v>7754000</v>
      </c>
      <c r="AC154" s="10" t="n">
        <v>7648500</v>
      </c>
      <c r="AD154" s="10" t="n">
        <v>8403000</v>
      </c>
      <c r="AE154" s="10" t="n">
        <v>9032000</v>
      </c>
      <c r="AF154" s="10" t="n">
        <v>3164000</v>
      </c>
      <c r="AG154" s="10" t="n">
        <v>4189500</v>
      </c>
      <c r="AH154" s="10" t="n">
        <v>2952000</v>
      </c>
      <c r="AI154" s="10" t="n">
        <v>2970500</v>
      </c>
    </row>
    <row r="155" customFormat="false" ht="15" hidden="false" customHeight="false" outlineLevel="0" collapsed="false">
      <c r="A155" s="3" t="n">
        <v>152</v>
      </c>
      <c r="B155" s="4" t="s">
        <v>189</v>
      </c>
      <c r="C155" s="5" t="n">
        <v>-11.51</v>
      </c>
      <c r="D155" s="6" t="n">
        <f aca="false">IFERROR(V155/W155-1,"")</f>
        <v>-0.0127809630444714</v>
      </c>
      <c r="E155" s="6" t="n">
        <f aca="false">IFERROR(AA155/AB155-1,"")</f>
        <v>0.0322543218470821</v>
      </c>
      <c r="F155" s="3" t="str">
        <f aca="false">IF(OR(D155="",E155=""),"n/a (new)",IF(D155&gt;=0,IF(E155&gt;=0,"Long Buildup","Short Covering"),IF(E155&gt;=0,"Short Buildup","Long Unwinding")))</f>
        <v>Short Buildup</v>
      </c>
      <c r="G155" s="6" t="n">
        <f aca="false">IFERROR(V155/X155-1,"")</f>
        <v>-0.0666942450419759</v>
      </c>
      <c r="H155" s="6" t="n">
        <f aca="false">IFERROR(AA155/AC155-1,"")</f>
        <v>0.0672984644913628</v>
      </c>
      <c r="I155" s="3" t="str">
        <f aca="false">IF(OR(G155="",H155=""),"n/a (new)",IF(G155&gt;=0,IF(H155&gt;=0,"Long Buildup","Short Covering"),IF(H155&gt;=0,"Short Buildup","Long Unwinding")))</f>
        <v>Short Buildup</v>
      </c>
      <c r="J155" s="6" t="n">
        <f aca="false">IFERROR(V155/Y155-1,"")</f>
        <v>-0.0589081094344253</v>
      </c>
      <c r="K155" s="6" t="n">
        <f aca="false">IFERROR(AA155/AD155-1,"")</f>
        <v>-0.000842270761974295</v>
      </c>
      <c r="L155" s="3" t="str">
        <f aca="false">IF(OR(J155="",K155=""),"n/a (new)",IF(J155&gt;=0,IF(K155&gt;=0,"Long Buildup","Short Covering"),IF(K155&gt;=0,"Short Buildup","Long Unwinding")))</f>
        <v>Long Unwinding</v>
      </c>
      <c r="M155" s="6" t="n">
        <f aca="false">IFERROR(V155/Z155-1,"")</f>
        <v>-0.081351929428728</v>
      </c>
      <c r="N155" s="6" t="n">
        <f aca="false">IFERROR(AA155/AE155-1,"")</f>
        <v>-0.161688495241685</v>
      </c>
      <c r="O155" s="3" t="str">
        <f aca="false">IF(OR(M155="",N155=""),"n/a (new)",IF(M155&gt;=0,IF(N155&gt;=0,"Long Buildup","Short Covering"),IF(N155&gt;=0,"Short Buildup","Long Unwinding")))</f>
        <v>Long Unwinding</v>
      </c>
      <c r="P155" s="7" t="n">
        <f aca="false">IFERROR(AF155/AG155,"")</f>
        <v>0.615829371707568</v>
      </c>
      <c r="Q155" s="7" t="n">
        <f aca="false">IFERROR(AH155/AI155,"")</f>
        <v>1.10988872028326</v>
      </c>
      <c r="V155" s="9" t="n">
        <v>7670.84</v>
      </c>
      <c r="W155" s="9" t="n">
        <v>7770.15</v>
      </c>
      <c r="X155" s="9" t="n">
        <v>8219</v>
      </c>
      <c r="Y155" s="9" t="n">
        <v>8151</v>
      </c>
      <c r="Z155" s="9" t="n">
        <v>8350.14</v>
      </c>
      <c r="AA155" s="10" t="n">
        <v>2224250</v>
      </c>
      <c r="AB155" s="10" t="n">
        <v>2154750</v>
      </c>
      <c r="AC155" s="10" t="n">
        <v>2084000</v>
      </c>
      <c r="AD155" s="10" t="n">
        <v>2226125</v>
      </c>
      <c r="AE155" s="10" t="n">
        <v>2653250</v>
      </c>
      <c r="AF155" s="10" t="n">
        <v>1198250</v>
      </c>
      <c r="AG155" s="10" t="n">
        <v>1945750</v>
      </c>
      <c r="AH155" s="10" t="n">
        <v>1097125</v>
      </c>
      <c r="AI155" s="10" t="n">
        <v>988500</v>
      </c>
    </row>
    <row r="156" customFormat="false" ht="15" hidden="false" customHeight="false" outlineLevel="0" collapsed="false">
      <c r="A156" s="3" t="n">
        <v>153</v>
      </c>
      <c r="B156" s="4" t="s">
        <v>190</v>
      </c>
      <c r="C156" s="5" t="n">
        <v>-11.6</v>
      </c>
      <c r="D156" s="6" t="n">
        <f aca="false">IFERROR(V156/W156-1,"")</f>
        <v>-0.0114331760888662</v>
      </c>
      <c r="E156" s="6" t="n">
        <f aca="false">IFERROR(AA156/AB156-1,"")</f>
        <v>-0.0176590446004076</v>
      </c>
      <c r="F156" s="3" t="str">
        <f aca="false">IF(OR(D156="",E156=""),"n/a (new)",IF(D156&gt;=0,IF(E156&gt;=0,"Long Buildup","Short Covering"),IF(E156&gt;=0,"Short Buildup","Long Unwinding")))</f>
        <v>Long Unwinding</v>
      </c>
      <c r="G156" s="6" t="n">
        <f aca="false">IFERROR(V156/X156-1,"")</f>
        <v>-0.0291934644254505</v>
      </c>
      <c r="H156" s="6" t="n">
        <f aca="false">IFERROR(AA156/AC156-1,"")</f>
        <v>0.00733621210010682</v>
      </c>
      <c r="I156" s="3" t="str">
        <f aca="false">IF(OR(G156="",H156=""),"n/a (new)",IF(G156&gt;=0,IF(H156&gt;=0,"Long Buildup","Short Covering"),IF(H156&gt;=0,"Short Buildup","Long Unwinding")))</f>
        <v>Short Buildup</v>
      </c>
      <c r="J156" s="6" t="n">
        <f aca="false">IFERROR(V156/Y156-1,"")</f>
        <v>-0.0254314967897186</v>
      </c>
      <c r="K156" s="6" t="n">
        <f aca="false">IFERROR(AA156/AD156-1,"")</f>
        <v>0.0594296317999805</v>
      </c>
      <c r="L156" s="3" t="str">
        <f aca="false">IF(OR(J156="",K156=""),"n/a (new)",IF(J156&gt;=0,IF(K156&gt;=0,"Long Buildup","Short Covering"),IF(K156&gt;=0,"Short Buildup","Long Unwinding")))</f>
        <v>Short Buildup</v>
      </c>
      <c r="M156" s="6" t="n">
        <f aca="false">IFERROR(V156/Z156-1,"")</f>
        <v>-0.0595789760492558</v>
      </c>
      <c r="N156" s="6" t="n">
        <f aca="false">IFERROR(AA156/AE156-1,"")</f>
        <v>0.0718343955338174</v>
      </c>
      <c r="O156" s="3" t="str">
        <f aca="false">IF(OR(M156="",N156=""),"n/a (new)",IF(M156&gt;=0,IF(N156&gt;=0,"Long Buildup","Short Covering"),IF(N156&gt;=0,"Short Buildup","Long Unwinding")))</f>
        <v>Short Buildup</v>
      </c>
      <c r="P156" s="7" t="n">
        <f aca="false">IFERROR(AF156/AG156,"")</f>
        <v>0.642660802638813</v>
      </c>
      <c r="Q156" s="7" t="n">
        <f aca="false">IFERROR(AH156/AI156,"")</f>
        <v>0.731273549359457</v>
      </c>
      <c r="V156" s="9" t="n">
        <v>4625</v>
      </c>
      <c r="W156" s="9" t="n">
        <v>4678.49</v>
      </c>
      <c r="X156" s="9" t="n">
        <v>4764.08</v>
      </c>
      <c r="Y156" s="9" t="n">
        <v>4745.69</v>
      </c>
      <c r="Z156" s="9" t="n">
        <v>4918.01</v>
      </c>
      <c r="AA156" s="10" t="n">
        <v>2711875</v>
      </c>
      <c r="AB156" s="10" t="n">
        <v>2760625</v>
      </c>
      <c r="AC156" s="10" t="n">
        <v>2692125</v>
      </c>
      <c r="AD156" s="10" t="n">
        <v>2559750</v>
      </c>
      <c r="AE156" s="10" t="n">
        <v>2530125</v>
      </c>
      <c r="AF156" s="10" t="n">
        <v>730625</v>
      </c>
      <c r="AG156" s="10" t="n">
        <v>1136875</v>
      </c>
      <c r="AH156" s="10" t="n">
        <v>606500</v>
      </c>
      <c r="AI156" s="10" t="n">
        <v>829375</v>
      </c>
    </row>
    <row r="157" customFormat="false" ht="15" hidden="false" customHeight="false" outlineLevel="0" collapsed="false">
      <c r="A157" s="3" t="n">
        <v>154</v>
      </c>
      <c r="B157" s="4" t="s">
        <v>191</v>
      </c>
      <c r="C157" s="5" t="n">
        <v>-11.87</v>
      </c>
      <c r="D157" s="6" t="n">
        <f aca="false">IFERROR(V157/W157-1,"")</f>
        <v>-0.0408623607740044</v>
      </c>
      <c r="E157" s="6" t="n">
        <f aca="false">IFERROR(AA157/AB157-1,"")</f>
        <v>-0.00118082342753678</v>
      </c>
      <c r="F157" s="3" t="str">
        <f aca="false">IF(OR(D157="",E157=""),"n/a (new)",IF(D157&gt;=0,IF(E157&gt;=0,"Long Buildup","Short Covering"),IF(E157&gt;=0,"Short Buildup","Long Unwinding")))</f>
        <v>Long Unwinding</v>
      </c>
      <c r="G157" s="6" t="n">
        <f aca="false">IFERROR(V157/X157-1,"")</f>
        <v>-0.0522222222222222</v>
      </c>
      <c r="H157" s="6" t="n">
        <f aca="false">IFERROR(AA157/AC157-1,"")</f>
        <v>0.0064250019830252</v>
      </c>
      <c r="I157" s="3" t="str">
        <f aca="false">IF(OR(G157="",H157=""),"n/a (new)",IF(G157&gt;=0,IF(H157&gt;=0,"Long Buildup","Short Covering"),IF(H157&gt;=0,"Short Buildup","Long Unwinding")))</f>
        <v>Short Buildup</v>
      </c>
      <c r="J157" s="6" t="n">
        <f aca="false">IFERROR(V157/Y157-1,"")</f>
        <v>-0.0535099080492262</v>
      </c>
      <c r="K157" s="6" t="n">
        <f aca="false">IFERROR(AA157/AD157-1,"")</f>
        <v>0.0157713553758707</v>
      </c>
      <c r="L157" s="3" t="str">
        <f aca="false">IF(OR(J157="",K157=""),"n/a (new)",IF(J157&gt;=0,IF(K157&gt;=0,"Long Buildup","Short Covering"),IF(K157&gt;=0,"Short Buildup","Long Unwinding")))</f>
        <v>Short Buildup</v>
      </c>
      <c r="M157" s="6" t="n">
        <f aca="false">IFERROR(V157/Z157-1,"")</f>
        <v>-0.104218271959057</v>
      </c>
      <c r="N157" s="6" t="n">
        <f aca="false">IFERROR(AA157/AE157-1,"")</f>
        <v>-0.246063343038802</v>
      </c>
      <c r="O157" s="3" t="str">
        <f aca="false">IF(OR(M157="",N157=""),"n/a (new)",IF(M157&gt;=0,IF(N157&gt;=0,"Long Buildup","Short Covering"),IF(N157&gt;=0,"Short Buildup","Long Unwinding")))</f>
        <v>Long Unwinding</v>
      </c>
      <c r="P157" s="7" t="n">
        <f aca="false">IFERROR(AF157/AG157,"")</f>
        <v>0.789003595870549</v>
      </c>
      <c r="Q157" s="7" t="n">
        <f aca="false">IFERROR(AH157/AI157,"")</f>
        <v>0.736099983976927</v>
      </c>
      <c r="V157" s="9" t="n">
        <v>9843.62</v>
      </c>
      <c r="W157" s="9" t="n">
        <v>10262.99</v>
      </c>
      <c r="X157" s="9" t="n">
        <v>10386</v>
      </c>
      <c r="Y157" s="9" t="n">
        <v>10400.13</v>
      </c>
      <c r="Z157" s="9" t="n">
        <v>10988.86</v>
      </c>
      <c r="AA157" s="10" t="n">
        <v>1268800</v>
      </c>
      <c r="AB157" s="10" t="n">
        <v>1270300</v>
      </c>
      <c r="AC157" s="10" t="n">
        <v>1260700</v>
      </c>
      <c r="AD157" s="10" t="n">
        <v>1249100</v>
      </c>
      <c r="AE157" s="10" t="n">
        <v>1682900</v>
      </c>
      <c r="AF157" s="10" t="n">
        <v>680200</v>
      </c>
      <c r="AG157" s="10" t="n">
        <v>862100</v>
      </c>
      <c r="AH157" s="10" t="n">
        <v>459400</v>
      </c>
      <c r="AI157" s="10" t="n">
        <v>624100</v>
      </c>
    </row>
    <row r="158" customFormat="false" ht="15" hidden="false" customHeight="false" outlineLevel="0" collapsed="false">
      <c r="A158" s="3" t="n">
        <v>155</v>
      </c>
      <c r="B158" s="4" t="s">
        <v>192</v>
      </c>
      <c r="C158" s="5" t="n">
        <v>-11.88</v>
      </c>
      <c r="D158" s="6" t="n">
        <f aca="false">IFERROR(V158/W158-1,"")</f>
        <v>0.0023645522771667</v>
      </c>
      <c r="E158" s="6" t="n">
        <f aca="false">IFERROR(AA158/AB158-1,"")</f>
        <v>-0.00504235578862444</v>
      </c>
      <c r="F158" s="3" t="str">
        <f aca="false">IF(OR(D158="",E158=""),"n/a (new)",IF(D158&gt;=0,IF(E158&gt;=0,"Long Buildup","Short Covering"),IF(E158&gt;=0,"Short Buildup","Long Unwinding")))</f>
        <v>Short Covering</v>
      </c>
      <c r="G158" s="6" t="n">
        <f aca="false">IFERROR(V158/X158-1,"")</f>
        <v>-0.0429447852760736</v>
      </c>
      <c r="H158" s="6" t="n">
        <f aca="false">IFERROR(AA158/AC158-1,"")</f>
        <v>0.0150901982303313</v>
      </c>
      <c r="I158" s="3" t="str">
        <f aca="false">IF(OR(G158="",H158=""),"n/a (new)",IF(G158&gt;=0,IF(H158&gt;=0,"Long Buildup","Short Covering"),IF(H158&gt;=0,"Short Buildup","Long Unwinding")))</f>
        <v>Short Buildup</v>
      </c>
      <c r="J158" s="6" t="n">
        <f aca="false">IFERROR(V158/Y158-1,"")</f>
        <v>-0.017632241813602</v>
      </c>
      <c r="K158" s="6" t="n">
        <f aca="false">IFERROR(AA158/AD158-1,"")</f>
        <v>0.0503939243381362</v>
      </c>
      <c r="L158" s="3" t="str">
        <f aca="false">IF(OR(J158="",K158=""),"n/a (new)",IF(J158&gt;=0,IF(K158&gt;=0,"Long Buildup","Short Covering"),IF(K158&gt;=0,"Short Buildup","Long Unwinding")))</f>
        <v>Short Buildup</v>
      </c>
      <c r="M158" s="6" t="n">
        <f aca="false">IFERROR(V158/Z158-1,"")</f>
        <v>-0.0946024376088218</v>
      </c>
      <c r="N158" s="6" t="n">
        <f aca="false">IFERROR(AA158/AE158-1,"")</f>
        <v>0.114466450786957</v>
      </c>
      <c r="O158" s="3" t="str">
        <f aca="false">IF(OR(M158="",N158=""),"n/a (new)",IF(M158&gt;=0,IF(N158&gt;=0,"Long Buildup","Short Covering"),IF(N158&gt;=0,"Short Buildup","Long Unwinding")))</f>
        <v>Short Buildup</v>
      </c>
      <c r="P158" s="7" t="n">
        <f aca="false">IFERROR(AF158/AG158,"")</f>
        <v>0.612362714728246</v>
      </c>
      <c r="Q158" s="7" t="n">
        <f aca="false">IFERROR(AH158/AI158,"")</f>
        <v>0.636234241561611</v>
      </c>
      <c r="V158" s="9" t="n">
        <v>390</v>
      </c>
      <c r="W158" s="9" t="n">
        <v>389.08</v>
      </c>
      <c r="X158" s="9" t="n">
        <v>407.5</v>
      </c>
      <c r="Y158" s="9" t="n">
        <v>397</v>
      </c>
      <c r="Z158" s="9" t="n">
        <v>430.75</v>
      </c>
      <c r="AA158" s="10" t="n">
        <v>30707925</v>
      </c>
      <c r="AB158" s="10" t="n">
        <v>30863550</v>
      </c>
      <c r="AC158" s="10" t="n">
        <v>30251425</v>
      </c>
      <c r="AD158" s="10" t="n">
        <v>29234675</v>
      </c>
      <c r="AE158" s="10" t="n">
        <v>27553925</v>
      </c>
      <c r="AF158" s="10" t="n">
        <v>9024175</v>
      </c>
      <c r="AG158" s="10" t="n">
        <v>14736650</v>
      </c>
      <c r="AH158" s="10" t="n">
        <v>6492675</v>
      </c>
      <c r="AI158" s="10" t="n">
        <v>10204850</v>
      </c>
    </row>
    <row r="159" customFormat="false" ht="15" hidden="false" customHeight="false" outlineLevel="0" collapsed="false">
      <c r="A159" s="3" t="n">
        <v>156</v>
      </c>
      <c r="B159" s="4" t="s">
        <v>193</v>
      </c>
      <c r="C159" s="5" t="n">
        <v>-11.99</v>
      </c>
      <c r="D159" s="6" t="n">
        <f aca="false">IFERROR(V159/W159-1,"")</f>
        <v>0.00111823906774178</v>
      </c>
      <c r="E159" s="6" t="n">
        <f aca="false">IFERROR(AA159/AB159-1,"")</f>
        <v>0.0160659486130332</v>
      </c>
      <c r="F159" s="3" t="str">
        <f aca="false">IF(OR(D159="",E159=""),"n/a (new)",IF(D159&gt;=0,IF(E159&gt;=0,"Long Buildup","Short Covering"),IF(E159&gt;=0,"Short Buildup","Long Unwinding")))</f>
        <v>Long Buildup</v>
      </c>
      <c r="G159" s="6" t="n">
        <f aca="false">IFERROR(V159/X159-1,"")</f>
        <v>-0.0302055895734273</v>
      </c>
      <c r="H159" s="6" t="n">
        <f aca="false">IFERROR(AA159/AC159-1,"")</f>
        <v>0.0466907377849406</v>
      </c>
      <c r="I159" s="3" t="str">
        <f aca="false">IF(OR(G159="",H159=""),"n/a (new)",IF(G159&gt;=0,IF(H159&gt;=0,"Long Buildup","Short Covering"),IF(H159&gt;=0,"Short Buildup","Long Unwinding")))</f>
        <v>Short Buildup</v>
      </c>
      <c r="J159" s="6" t="n">
        <f aca="false">IFERROR(V159/Y159-1,"")</f>
        <v>-0.015625</v>
      </c>
      <c r="K159" s="6" t="n">
        <f aca="false">IFERROR(AA159/AD159-1,"")</f>
        <v>0.063768800692968</v>
      </c>
      <c r="L159" s="3" t="str">
        <f aca="false">IF(OR(J159="",K159=""),"n/a (new)",IF(J159&gt;=0,IF(K159&gt;=0,"Long Buildup","Short Covering"),IF(K159&gt;=0,"Short Buildup","Long Unwinding")))</f>
        <v>Short Buildup</v>
      </c>
      <c r="M159" s="6" t="n">
        <f aca="false">IFERROR(V159/Z159-1,"")</f>
        <v>-0.109424083769634</v>
      </c>
      <c r="N159" s="6" t="n">
        <f aca="false">IFERROR(AA159/AE159-1,"")</f>
        <v>0.133554861880308</v>
      </c>
      <c r="O159" s="3" t="str">
        <f aca="false">IF(OR(M159="",N159=""),"n/a (new)",IF(M159&gt;=0,IF(N159&gt;=0,"Long Buildup","Short Covering"),IF(N159&gt;=0,"Short Buildup","Long Unwinding")))</f>
        <v>Short Buildup</v>
      </c>
      <c r="P159" s="7" t="n">
        <f aca="false">IFERROR(AF159/AG159,"")</f>
        <v>0.860253015592821</v>
      </c>
      <c r="Q159" s="7" t="n">
        <f aca="false">IFERROR(AH159/AI159,"")</f>
        <v>0.975396209686357</v>
      </c>
      <c r="V159" s="9" t="n">
        <v>850.5</v>
      </c>
      <c r="W159" s="9" t="n">
        <v>849.55</v>
      </c>
      <c r="X159" s="9" t="n">
        <v>876.99</v>
      </c>
      <c r="Y159" s="9" t="n">
        <v>864</v>
      </c>
      <c r="Z159" s="9" t="n">
        <v>955</v>
      </c>
      <c r="AA159" s="10" t="n">
        <v>47280800</v>
      </c>
      <c r="AB159" s="10" t="n">
        <v>46533200</v>
      </c>
      <c r="AC159" s="10" t="n">
        <v>45171700</v>
      </c>
      <c r="AD159" s="10" t="n">
        <v>44446500</v>
      </c>
      <c r="AE159" s="10" t="n">
        <v>41710200</v>
      </c>
      <c r="AF159" s="10" t="n">
        <v>8187200</v>
      </c>
      <c r="AG159" s="10" t="n">
        <v>9517200</v>
      </c>
      <c r="AH159" s="10" t="n">
        <v>6160700</v>
      </c>
      <c r="AI159" s="10" t="n">
        <v>6316100</v>
      </c>
    </row>
    <row r="160" customFormat="false" ht="15" hidden="false" customHeight="false" outlineLevel="0" collapsed="false">
      <c r="A160" s="3" t="n">
        <v>157</v>
      </c>
      <c r="B160" s="4" t="s">
        <v>194</v>
      </c>
      <c r="C160" s="5" t="n">
        <v>-11.99</v>
      </c>
      <c r="D160" s="6" t="n">
        <f aca="false">IFERROR(V160/W160-1,"")</f>
        <v>-0.00825271791540205</v>
      </c>
      <c r="E160" s="6" t="n">
        <f aca="false">IFERROR(AA160/AB160-1,"")</f>
        <v>-0.0351290963257199</v>
      </c>
      <c r="F160" s="3" t="str">
        <f aca="false">IF(OR(D160="",E160=""),"n/a (new)",IF(D160&gt;=0,IF(E160&gt;=0,"Long Buildup","Short Covering"),IF(E160&gt;=0,"Short Buildup","Long Unwinding")))</f>
        <v>Long Unwinding</v>
      </c>
      <c r="G160" s="6" t="n">
        <f aca="false">IFERROR(V160/X160-1,"")</f>
        <v>-0.0761404039639912</v>
      </c>
      <c r="H160" s="6" t="n">
        <f aca="false">IFERROR(AA160/AC160-1,"")</f>
        <v>-0.038946587537092</v>
      </c>
      <c r="I160" s="3" t="str">
        <f aca="false">IF(OR(G160="",H160=""),"n/a (new)",IF(G160&gt;=0,IF(H160&gt;=0,"Long Buildup","Short Covering"),IF(H160&gt;=0,"Short Buildup","Long Unwinding")))</f>
        <v>Long Unwinding</v>
      </c>
      <c r="J160" s="6" t="n">
        <f aca="false">IFERROR(V160/Y160-1,"")</f>
        <v>-0.0368216098979642</v>
      </c>
      <c r="K160" s="6" t="n">
        <f aca="false">IFERROR(AA160/AD160-1,"")</f>
        <v>0.158420268256334</v>
      </c>
      <c r="L160" s="3" t="str">
        <f aca="false">IF(OR(J160="",K160=""),"n/a (new)",IF(J160&gt;=0,IF(K160&gt;=0,"Long Buildup","Short Covering"),IF(K160&gt;=0,"Short Buildup","Long Unwinding")))</f>
        <v>Short Buildup</v>
      </c>
      <c r="M160" s="6" t="n">
        <f aca="false">IFERROR(V160/Z160-1,"")</f>
        <v>-0.0297529196790339</v>
      </c>
      <c r="N160" s="6" t="n">
        <f aca="false">IFERROR(AA160/AE160-1,"")</f>
        <v>0.150703182827535</v>
      </c>
      <c r="O160" s="3" t="str">
        <f aca="false">IF(OR(M160="",N160=""),"n/a (new)",IF(M160&gt;=0,IF(N160&gt;=0,"Long Buildup","Short Covering"),IF(N160&gt;=0,"Short Buildup","Long Unwinding")))</f>
        <v>Short Buildup</v>
      </c>
      <c r="P160" s="7" t="n">
        <f aca="false">IFERROR(AF160/AG160,"")</f>
        <v>0.492573176059415</v>
      </c>
      <c r="Q160" s="7" t="n">
        <f aca="false">IFERROR(AH160/AI160,"")</f>
        <v>0.637705848949461</v>
      </c>
      <c r="V160" s="9" t="n">
        <v>977</v>
      </c>
      <c r="W160" s="9" t="n">
        <v>985.13</v>
      </c>
      <c r="X160" s="9" t="n">
        <v>1057.52</v>
      </c>
      <c r="Y160" s="9" t="n">
        <v>1014.35</v>
      </c>
      <c r="Z160" s="9" t="n">
        <v>1006.96</v>
      </c>
      <c r="AA160" s="10" t="n">
        <v>6024075</v>
      </c>
      <c r="AB160" s="10" t="n">
        <v>6243400</v>
      </c>
      <c r="AC160" s="10" t="n">
        <v>6268200</v>
      </c>
      <c r="AD160" s="10" t="n">
        <v>5200250</v>
      </c>
      <c r="AE160" s="10" t="n">
        <v>5235125</v>
      </c>
      <c r="AF160" s="10" t="n">
        <v>1747625</v>
      </c>
      <c r="AG160" s="10" t="n">
        <v>3547950</v>
      </c>
      <c r="AH160" s="10" t="n">
        <v>1740650</v>
      </c>
      <c r="AI160" s="10" t="n">
        <v>2729550</v>
      </c>
    </row>
    <row r="161" customFormat="false" ht="15" hidden="false" customHeight="false" outlineLevel="0" collapsed="false">
      <c r="A161" s="3" t="n">
        <v>158</v>
      </c>
      <c r="B161" s="4" t="s">
        <v>195</v>
      </c>
      <c r="C161" s="5" t="n">
        <v>-12.05</v>
      </c>
      <c r="D161" s="6" t="n">
        <f aca="false">IFERROR(V161/W161-1,"")</f>
        <v>-0.00831772861363278</v>
      </c>
      <c r="E161" s="6" t="n">
        <f aca="false">IFERROR(AA161/AB161-1,"")</f>
        <v>0.00206028056854479</v>
      </c>
      <c r="F161" s="3" t="str">
        <f aca="false">IF(OR(D161="",E161=""),"n/a (new)",IF(D161&gt;=0,IF(E161&gt;=0,"Long Buildup","Short Covering"),IF(E161&gt;=0,"Short Buildup","Long Unwinding")))</f>
        <v>Short Buildup</v>
      </c>
      <c r="G161" s="6" t="n">
        <f aca="false">IFERROR(V161/X161-1,"")</f>
        <v>-0.0180972111689791</v>
      </c>
      <c r="H161" s="6" t="n">
        <f aca="false">IFERROR(AA161/AC161-1,"")</f>
        <v>0.0119459510005611</v>
      </c>
      <c r="I161" s="3" t="str">
        <f aca="false">IF(OR(G161="",H161=""),"n/a (new)",IF(G161&gt;=0,IF(H161&gt;=0,"Long Buildup","Short Covering"),IF(H161&gt;=0,"Short Buildup","Long Unwinding")))</f>
        <v>Short Buildup</v>
      </c>
      <c r="J161" s="6" t="n">
        <f aca="false">IFERROR(V161/Y161-1,"")</f>
        <v>-0.0438367947343489</v>
      </c>
      <c r="K161" s="6" t="n">
        <f aca="false">IFERROR(AA161/AD161-1,"")</f>
        <v>0.0627010040998699</v>
      </c>
      <c r="L161" s="3" t="str">
        <f aca="false">IF(OR(J161="",K161=""),"n/a (new)",IF(J161&gt;=0,IF(K161&gt;=0,"Long Buildup","Short Covering"),IF(K161&gt;=0,"Short Buildup","Long Unwinding")))</f>
        <v>Short Buildup</v>
      </c>
      <c r="M161" s="6" t="n">
        <f aca="false">IFERROR(V161/Z161-1,"")</f>
        <v>-0.0850406474970327</v>
      </c>
      <c r="N161" s="6" t="n">
        <f aca="false">IFERROR(AA161/AE161-1,"")</f>
        <v>0.0030122575711935</v>
      </c>
      <c r="O161" s="3" t="str">
        <f aca="false">IF(OR(M161="",N161=""),"n/a (new)",IF(M161&gt;=0,IF(N161&gt;=0,"Long Buildup","Short Covering"),IF(N161&gt;=0,"Short Buildup","Long Unwinding")))</f>
        <v>Short Buildup</v>
      </c>
      <c r="P161" s="7" t="n">
        <f aca="false">IFERROR(AF161/AG161,"")</f>
        <v>0.455916030534351</v>
      </c>
      <c r="Q161" s="7" t="n">
        <f aca="false">IFERROR(AH161/AI161,"")</f>
        <v>0.522853223593964</v>
      </c>
      <c r="V161" s="9" t="n">
        <v>4602.09</v>
      </c>
      <c r="W161" s="9" t="n">
        <v>4640.69</v>
      </c>
      <c r="X161" s="9" t="n">
        <v>4686.91</v>
      </c>
      <c r="Y161" s="9" t="n">
        <v>4813.08</v>
      </c>
      <c r="Z161" s="9" t="n">
        <v>5029.83</v>
      </c>
      <c r="AA161" s="10" t="n">
        <v>6493050</v>
      </c>
      <c r="AB161" s="10" t="n">
        <v>6479700</v>
      </c>
      <c r="AC161" s="10" t="n">
        <v>6416400</v>
      </c>
      <c r="AD161" s="10" t="n">
        <v>6109950</v>
      </c>
      <c r="AE161" s="10" t="n">
        <v>6473550</v>
      </c>
      <c r="AF161" s="10" t="n">
        <v>1791750</v>
      </c>
      <c r="AG161" s="10" t="n">
        <v>3930000</v>
      </c>
      <c r="AH161" s="10" t="n">
        <v>1429350</v>
      </c>
      <c r="AI161" s="10" t="n">
        <v>2733750</v>
      </c>
    </row>
    <row r="162" customFormat="false" ht="15" hidden="false" customHeight="false" outlineLevel="0" collapsed="false">
      <c r="A162" s="3" t="n">
        <v>159</v>
      </c>
      <c r="B162" s="4" t="s">
        <v>196</v>
      </c>
      <c r="C162" s="5" t="n">
        <v>-12.07</v>
      </c>
      <c r="D162" s="6" t="n">
        <f aca="false">IFERROR(V162/W162-1,"")</f>
        <v>-0.00214521452145211</v>
      </c>
      <c r="E162" s="6" t="n">
        <f aca="false">IFERROR(AA162/AB162-1,"")</f>
        <v>0.0078778269214721</v>
      </c>
      <c r="F162" s="3" t="str">
        <f aca="false">IF(OR(D162="",E162=""),"n/a (new)",IF(D162&gt;=0,IF(E162&gt;=0,"Long Buildup","Short Covering"),IF(E162&gt;=0,"Short Buildup","Long Unwinding")))</f>
        <v>Short Buildup</v>
      </c>
      <c r="G162" s="6" t="n">
        <f aca="false">IFERROR(V162/X162-1,"")</f>
        <v>-0.0406155798825955</v>
      </c>
      <c r="H162" s="6" t="n">
        <f aca="false">IFERROR(AA162/AC162-1,"")</f>
        <v>0.055513799793746</v>
      </c>
      <c r="I162" s="3" t="str">
        <f aca="false">IF(OR(G162="",H162=""),"n/a (new)",IF(G162&gt;=0,IF(H162&gt;=0,"Long Buildup","Short Covering"),IF(H162&gt;=0,"Short Buildup","Long Unwinding")))</f>
        <v>Short Buildup</v>
      </c>
      <c r="J162" s="6" t="n">
        <f aca="false">IFERROR(V162/Y162-1,"")</f>
        <v>-0.0237011204753139</v>
      </c>
      <c r="K162" s="6" t="n">
        <f aca="false">IFERROR(AA162/AD162-1,"")</f>
        <v>0.0657595171281835</v>
      </c>
      <c r="L162" s="3" t="str">
        <f aca="false">IF(OR(J162="",K162=""),"n/a (new)",IF(J162&gt;=0,IF(K162&gt;=0,"Long Buildup","Short Covering"),IF(K162&gt;=0,"Short Buildup","Long Unwinding")))</f>
        <v>Short Buildup</v>
      </c>
      <c r="M162" s="6" t="n">
        <f aca="false">IFERROR(V162/Z162-1,"")</f>
        <v>-0.0776106653650203</v>
      </c>
      <c r="N162" s="6" t="n">
        <f aca="false">IFERROR(AA162/AE162-1,"")</f>
        <v>-0.210658405552723</v>
      </c>
      <c r="O162" s="3" t="str">
        <f aca="false">IF(OR(M162="",N162=""),"n/a (new)",IF(M162&gt;=0,IF(N162&gt;=0,"Long Buildup","Short Covering"),IF(N162&gt;=0,"Short Buildup","Long Unwinding")))</f>
        <v>Long Unwinding</v>
      </c>
      <c r="P162" s="7" t="n">
        <f aca="false">IFERROR(AF162/AG162,"")</f>
        <v>0.535121808532865</v>
      </c>
      <c r="Q162" s="7" t="n">
        <f aca="false">IFERROR(AH162/AI162,"")</f>
        <v>0.481257432397498</v>
      </c>
      <c r="V162" s="9" t="n">
        <v>302.35</v>
      </c>
      <c r="W162" s="9" t="n">
        <v>303</v>
      </c>
      <c r="X162" s="9" t="n">
        <v>315.15</v>
      </c>
      <c r="Y162" s="9" t="n">
        <v>309.69</v>
      </c>
      <c r="Z162" s="9" t="n">
        <v>327.79</v>
      </c>
      <c r="AA162" s="10" t="n">
        <v>90580500</v>
      </c>
      <c r="AB162" s="10" t="n">
        <v>89872500</v>
      </c>
      <c r="AC162" s="10" t="n">
        <v>85816500</v>
      </c>
      <c r="AD162" s="10" t="n">
        <v>84991500</v>
      </c>
      <c r="AE162" s="10" t="n">
        <v>114754500</v>
      </c>
      <c r="AF162" s="10" t="n">
        <v>19209000</v>
      </c>
      <c r="AG162" s="10" t="n">
        <v>35896500</v>
      </c>
      <c r="AH162" s="10" t="n">
        <v>13962000</v>
      </c>
      <c r="AI162" s="10" t="n">
        <v>29011500</v>
      </c>
    </row>
    <row r="163" customFormat="false" ht="15" hidden="false" customHeight="false" outlineLevel="0" collapsed="false">
      <c r="A163" s="3" t="n">
        <v>160</v>
      </c>
      <c r="B163" s="4" t="s">
        <v>197</v>
      </c>
      <c r="C163" s="5" t="n">
        <v>-12.31</v>
      </c>
      <c r="D163" s="6" t="n">
        <f aca="false">IFERROR(V163/W163-1,"")</f>
        <v>-0.0185847208619</v>
      </c>
      <c r="E163" s="6" t="n">
        <f aca="false">IFERROR(AA163/AB163-1,"")</f>
        <v>0.00803140854412798</v>
      </c>
      <c r="F163" s="3" t="str">
        <f aca="false">IF(OR(D163="",E163=""),"n/a (new)",IF(D163&gt;=0,IF(E163&gt;=0,"Long Buildup","Short Covering"),IF(E163&gt;=0,"Short Buildup","Long Unwinding")))</f>
        <v>Short Buildup</v>
      </c>
      <c r="G163" s="6" t="n">
        <f aca="false">IFERROR(V163/X163-1,"")</f>
        <v>-0.0689230626277644</v>
      </c>
      <c r="H163" s="6" t="n">
        <f aca="false">IFERROR(AA163/AC163-1,"")</f>
        <v>0.00877287405812699</v>
      </c>
      <c r="I163" s="3" t="str">
        <f aca="false">IF(OR(G163="",H163=""),"n/a (new)",IF(G163&gt;=0,IF(H163&gt;=0,"Long Buildup","Short Covering"),IF(H163&gt;=0,"Short Buildup","Long Unwinding")))</f>
        <v>Short Buildup</v>
      </c>
      <c r="J163" s="6" t="n">
        <f aca="false">IFERROR(V163/Y163-1,"")</f>
        <v>-0.0721775967036274</v>
      </c>
      <c r="K163" s="6" t="n">
        <f aca="false">IFERROR(AA163/AD163-1,"")</f>
        <v>0.012660735511292</v>
      </c>
      <c r="L163" s="3" t="str">
        <f aca="false">IF(OR(J163="",K163=""),"n/a (new)",IF(J163&gt;=0,IF(K163&gt;=0,"Long Buildup","Short Covering"),IF(K163&gt;=0,"Short Buildup","Long Unwinding")))</f>
        <v>Short Buildup</v>
      </c>
      <c r="M163" s="6" t="n">
        <f aca="false">IFERROR(V163/Z163-1,"")</f>
        <v>-0.0678837209302325</v>
      </c>
      <c r="N163" s="6" t="n">
        <f aca="false">IFERROR(AA163/AE163-1,"")</f>
        <v>-0.126390528867069</v>
      </c>
      <c r="O163" s="3" t="str">
        <f aca="false">IF(OR(M163="",N163=""),"n/a (new)",IF(M163&gt;=0,IF(N163&gt;=0,"Long Buildup","Short Covering"),IF(N163&gt;=0,"Short Buildup","Long Unwinding")))</f>
        <v>Long Unwinding</v>
      </c>
      <c r="P163" s="7" t="n">
        <f aca="false">IFERROR(AF163/AG163,"")</f>
        <v>0.548488008342023</v>
      </c>
      <c r="Q163" s="7" t="n">
        <f aca="false">IFERROR(AH163/AI163,"")</f>
        <v>0.584055459272097</v>
      </c>
      <c r="V163" s="9" t="n">
        <v>400.81</v>
      </c>
      <c r="W163" s="9" t="n">
        <v>408.4</v>
      </c>
      <c r="X163" s="9" t="n">
        <v>430.48</v>
      </c>
      <c r="Y163" s="9" t="n">
        <v>431.99</v>
      </c>
      <c r="Z163" s="9" t="n">
        <v>430</v>
      </c>
      <c r="AA163" s="10" t="n">
        <v>71691975</v>
      </c>
      <c r="AB163" s="10" t="n">
        <v>71120775</v>
      </c>
      <c r="AC163" s="10" t="n">
        <v>71068500</v>
      </c>
      <c r="AD163" s="10" t="n">
        <v>70795650</v>
      </c>
      <c r="AE163" s="10" t="n">
        <v>82064100</v>
      </c>
      <c r="AF163" s="10" t="n">
        <v>10059750</v>
      </c>
      <c r="AG163" s="10" t="n">
        <v>18340875</v>
      </c>
      <c r="AH163" s="10" t="n">
        <v>6874800</v>
      </c>
      <c r="AI163" s="10" t="n">
        <v>11770800</v>
      </c>
    </row>
    <row r="164" customFormat="false" ht="15" hidden="false" customHeight="false" outlineLevel="0" collapsed="false">
      <c r="A164" s="3" t="n">
        <v>161</v>
      </c>
      <c r="B164" s="4" t="s">
        <v>198</v>
      </c>
      <c r="C164" s="5" t="n">
        <v>-12.52</v>
      </c>
      <c r="D164" s="6" t="n">
        <f aca="false">IFERROR(V164/W164-1,"")</f>
        <v>-0.0252129337539433</v>
      </c>
      <c r="E164" s="6" t="n">
        <f aca="false">IFERROR(AA164/AB164-1,"")</f>
        <v>-0.00407166123778502</v>
      </c>
      <c r="F164" s="3" t="str">
        <f aca="false">IF(OR(D164="",E164=""),"n/a (new)",IF(D164&gt;=0,IF(E164&gt;=0,"Long Buildup","Short Covering"),IF(E164&gt;=0,"Short Buildup","Long Unwinding")))</f>
        <v>Long Unwinding</v>
      </c>
      <c r="G164" s="6" t="n">
        <f aca="false">IFERROR(V164/X164-1,"")</f>
        <v>-0.0733727065406605</v>
      </c>
      <c r="H164" s="6" t="n">
        <f aca="false">IFERROR(AA164/AC164-1,"")</f>
        <v>0.0483456197497001</v>
      </c>
      <c r="I164" s="3" t="str">
        <f aca="false">IF(OR(G164="",H164=""),"n/a (new)",IF(G164&gt;=0,IF(H164&gt;=0,"Long Buildup","Short Covering"),IF(H164&gt;=0,"Short Buildup","Long Unwinding")))</f>
        <v>Short Buildup</v>
      </c>
      <c r="J164" s="6" t="n">
        <f aca="false">IFERROR(V164/Y164-1,"")</f>
        <v>-0.0572630172342782</v>
      </c>
      <c r="K164" s="6" t="n">
        <f aca="false">IFERROR(AA164/AD164-1,"")</f>
        <v>0.0374957583983713</v>
      </c>
      <c r="L164" s="3" t="str">
        <f aca="false">IF(OR(J164="",K164=""),"n/a (new)",IF(J164&gt;=0,IF(K164&gt;=0,"Long Buildup","Short Covering"),IF(K164&gt;=0,"Short Buildup","Long Unwinding")))</f>
        <v>Short Buildup</v>
      </c>
      <c r="M164" s="6" t="n">
        <f aca="false">IFERROR(V164/Z164-1,"")</f>
        <v>-0.117364783709634</v>
      </c>
      <c r="N164" s="6" t="n">
        <f aca="false">IFERROR(AA164/AE164-1,"")</f>
        <v>-0.0536985453419994</v>
      </c>
      <c r="O164" s="3" t="str">
        <f aca="false">IF(OR(M164="",N164=""),"n/a (new)",IF(M164&gt;=0,IF(N164&gt;=0,"Long Buildup","Short Covering"),IF(N164&gt;=0,"Short Buildup","Long Unwinding")))</f>
        <v>Long Unwinding</v>
      </c>
      <c r="P164" s="7" t="n">
        <f aca="false">IFERROR(AF164/AG164,"")</f>
        <v>0.648698035632709</v>
      </c>
      <c r="Q164" s="7" t="n">
        <f aca="false">IFERROR(AH164/AI164,"")</f>
        <v>0.68286350148368</v>
      </c>
      <c r="V164" s="9" t="n">
        <v>6180.15</v>
      </c>
      <c r="W164" s="9" t="n">
        <v>6340</v>
      </c>
      <c r="X164" s="9" t="n">
        <v>6669.51</v>
      </c>
      <c r="Y164" s="9" t="n">
        <v>6555.54</v>
      </c>
      <c r="Z164" s="9" t="n">
        <v>7001.93</v>
      </c>
      <c r="AA164" s="10" t="n">
        <v>1223000</v>
      </c>
      <c r="AB164" s="10" t="n">
        <v>1228000</v>
      </c>
      <c r="AC164" s="10" t="n">
        <v>1166600</v>
      </c>
      <c r="AD164" s="10" t="n">
        <v>1178800</v>
      </c>
      <c r="AE164" s="10" t="n">
        <v>1292400</v>
      </c>
      <c r="AF164" s="10" t="n">
        <v>426000</v>
      </c>
      <c r="AG164" s="10" t="n">
        <v>656700</v>
      </c>
      <c r="AH164" s="10" t="n">
        <v>368200</v>
      </c>
      <c r="AI164" s="10" t="n">
        <v>539200</v>
      </c>
    </row>
    <row r="165" customFormat="false" ht="15" hidden="false" customHeight="false" outlineLevel="0" collapsed="false">
      <c r="A165" s="3" t="n">
        <v>162</v>
      </c>
      <c r="B165" s="4" t="s">
        <v>199</v>
      </c>
      <c r="C165" s="5" t="n">
        <v>-12.59</v>
      </c>
      <c r="D165" s="6" t="n">
        <f aca="false">IFERROR(V165/W165-1,"")</f>
        <v>0.000104844881997135</v>
      </c>
      <c r="E165" s="6" t="n">
        <f aca="false">IFERROR(AA165/AB165-1,"")</f>
        <v>0.0619136201876416</v>
      </c>
      <c r="F165" s="3" t="str">
        <f aca="false">IF(OR(D165="",E165=""),"n/a (new)",IF(D165&gt;=0,IF(E165&gt;=0,"Long Buildup","Short Covering"),IF(E165&gt;=0,"Short Buildup","Long Unwinding")))</f>
        <v>Long Buildup</v>
      </c>
      <c r="G165" s="6" t="n">
        <f aca="false">IFERROR(V165/X165-1,"")</f>
        <v>-0.0358904386496867</v>
      </c>
      <c r="H165" s="6" t="n">
        <f aca="false">IFERROR(AA165/AC165-1,"")</f>
        <v>0.110692834785551</v>
      </c>
      <c r="I165" s="3" t="str">
        <f aca="false">IF(OR(G165="",H165=""),"n/a (new)",IF(G165&gt;=0,IF(H165&gt;=0,"Long Buildup","Short Covering"),IF(H165&gt;=0,"Short Buildup","Long Unwinding")))</f>
        <v>Short Buildup</v>
      </c>
      <c r="J165" s="6" t="n">
        <f aca="false">IFERROR(V165/Y165-1,"")</f>
        <v>-0.0216512820512821</v>
      </c>
      <c r="K165" s="6" t="n">
        <f aca="false">IFERROR(AA165/AD165-1,"")</f>
        <v>0.106154429419942</v>
      </c>
      <c r="L165" s="3" t="str">
        <f aca="false">IF(OR(J165="",K165=""),"n/a (new)",IF(J165&gt;=0,IF(K165&gt;=0,"Long Buildup","Short Covering"),IF(K165&gt;=0,"Short Buildup","Long Unwinding")))</f>
        <v>Short Buildup</v>
      </c>
      <c r="M165" s="6" t="n">
        <f aca="false">IFERROR(V165/Z165-1,"")</f>
        <v>-0.0796121188730221</v>
      </c>
      <c r="N165" s="6" t="n">
        <f aca="false">IFERROR(AA165/AE165-1,"")</f>
        <v>0.107600809853214</v>
      </c>
      <c r="O165" s="3" t="str">
        <f aca="false">IF(OR(M165="",N165=""),"n/a (new)",IF(M165&gt;=0,IF(N165&gt;=0,"Long Buildup","Short Covering"),IF(N165&gt;=0,"Short Buildup","Long Unwinding")))</f>
        <v>Short Buildup</v>
      </c>
      <c r="P165" s="7" t="n">
        <f aca="false">IFERROR(AF165/AG165,"")</f>
        <v>0.769888705688376</v>
      </c>
      <c r="Q165" s="7" t="n">
        <f aca="false">IFERROR(AH165/AI165,"")</f>
        <v>0.92785373085159</v>
      </c>
      <c r="V165" s="9" t="n">
        <v>953.89</v>
      </c>
      <c r="W165" s="9" t="n">
        <v>953.79</v>
      </c>
      <c r="X165" s="9" t="n">
        <v>989.4</v>
      </c>
      <c r="Y165" s="9" t="n">
        <v>975</v>
      </c>
      <c r="Z165" s="9" t="n">
        <v>1036.4</v>
      </c>
      <c r="AA165" s="10" t="n">
        <v>26259000</v>
      </c>
      <c r="AB165" s="10" t="n">
        <v>24728000</v>
      </c>
      <c r="AC165" s="10" t="n">
        <v>23642000</v>
      </c>
      <c r="AD165" s="10" t="n">
        <v>23739000</v>
      </c>
      <c r="AE165" s="10" t="n">
        <v>23708000</v>
      </c>
      <c r="AF165" s="10" t="n">
        <v>7471000</v>
      </c>
      <c r="AG165" s="10" t="n">
        <v>9704000</v>
      </c>
      <c r="AH165" s="10" t="n">
        <v>5633000</v>
      </c>
      <c r="AI165" s="10" t="n">
        <v>6071000</v>
      </c>
    </row>
    <row r="166" customFormat="false" ht="15" hidden="false" customHeight="false" outlineLevel="0" collapsed="false">
      <c r="A166" s="3" t="n">
        <v>163</v>
      </c>
      <c r="B166" s="4" t="s">
        <v>200</v>
      </c>
      <c r="C166" s="5" t="n">
        <v>-12.72</v>
      </c>
      <c r="D166" s="6" t="n">
        <f aca="false">IFERROR(V166/W166-1,"")</f>
        <v>-0.00865526704665398</v>
      </c>
      <c r="E166" s="6" t="n">
        <f aca="false">IFERROR(AA166/AB166-1,"")</f>
        <v>-0.0242349829996222</v>
      </c>
      <c r="F166" s="3" t="str">
        <f aca="false">IF(OR(D166="",E166=""),"n/a (new)",IF(D166&gt;=0,IF(E166&gt;=0,"Long Buildup","Short Covering"),IF(E166&gt;=0,"Short Buildup","Long Unwinding")))</f>
        <v>Long Unwinding</v>
      </c>
      <c r="G166" s="6" t="n">
        <f aca="false">IFERROR(V166/X166-1,"")</f>
        <v>-0.0459162941893538</v>
      </c>
      <c r="H166" s="6" t="n">
        <f aca="false">IFERROR(AA166/AC166-1,"")</f>
        <v>0.0107617351830474</v>
      </c>
      <c r="I166" s="3" t="str">
        <f aca="false">IF(OR(G166="",H166=""),"n/a (new)",IF(G166&gt;=0,IF(H166&gt;=0,"Long Buildup","Short Covering"),IF(H166&gt;=0,"Short Buildup","Long Unwinding")))</f>
        <v>Short Buildup</v>
      </c>
      <c r="J166" s="6" t="n">
        <f aca="false">IFERROR(V166/Y166-1,"")</f>
        <v>-0.072303437376531</v>
      </c>
      <c r="K166" s="6" t="n">
        <f aca="false">IFERROR(AA166/AD166-1,"")</f>
        <v>0.137719143687781</v>
      </c>
      <c r="L166" s="3" t="str">
        <f aca="false">IF(OR(J166="",K166=""),"n/a (new)",IF(J166&gt;=0,IF(K166&gt;=0,"Long Buildup","Short Covering"),IF(K166&gt;=0,"Short Buildup","Long Unwinding")))</f>
        <v>Short Buildup</v>
      </c>
      <c r="M166" s="6" t="n">
        <f aca="false">IFERROR(V166/Z166-1,"")</f>
        <v>-0.107190387467204</v>
      </c>
      <c r="N166" s="6" t="n">
        <f aca="false">IFERROR(AA166/AE166-1,"")</f>
        <v>-0.13595383457389</v>
      </c>
      <c r="O166" s="3" t="str">
        <f aca="false">IF(OR(M166="",N166=""),"n/a (new)",IF(M166&gt;=0,IF(N166&gt;=0,"Long Buildup","Short Covering"),IF(N166&gt;=0,"Short Buildup","Long Unwinding")))</f>
        <v>Long Unwinding</v>
      </c>
      <c r="P166" s="7" t="n">
        <f aca="false">IFERROR(AF166/AG166,"")</f>
        <v>0.565921954125707</v>
      </c>
      <c r="Q166" s="7" t="n">
        <f aca="false">IFERROR(AH166/AI166,"")</f>
        <v>0.703766333589547</v>
      </c>
      <c r="V166" s="9" t="n">
        <v>234.8</v>
      </c>
      <c r="W166" s="9" t="n">
        <v>236.85</v>
      </c>
      <c r="X166" s="9" t="n">
        <v>246.1</v>
      </c>
      <c r="Y166" s="9" t="n">
        <v>253.1</v>
      </c>
      <c r="Z166" s="9" t="n">
        <v>262.99</v>
      </c>
      <c r="AA166" s="10" t="n">
        <v>59405550</v>
      </c>
      <c r="AB166" s="10" t="n">
        <v>60881000</v>
      </c>
      <c r="AC166" s="10" t="n">
        <v>58773050</v>
      </c>
      <c r="AD166" s="10" t="n">
        <v>52214600</v>
      </c>
      <c r="AE166" s="10" t="n">
        <v>68752750</v>
      </c>
      <c r="AF166" s="10" t="n">
        <v>21847700</v>
      </c>
      <c r="AG166" s="10" t="n">
        <v>38605500</v>
      </c>
      <c r="AH166" s="10" t="n">
        <v>15794100</v>
      </c>
      <c r="AI166" s="10" t="n">
        <v>22442250</v>
      </c>
    </row>
    <row r="167" customFormat="false" ht="15" hidden="false" customHeight="false" outlineLevel="0" collapsed="false">
      <c r="A167" s="3" t="n">
        <v>164</v>
      </c>
      <c r="B167" s="4" t="s">
        <v>201</v>
      </c>
      <c r="C167" s="5" t="n">
        <v>-12.78</v>
      </c>
      <c r="D167" s="6" t="n">
        <f aca="false">IFERROR(V167/W167-1,"")</f>
        <v>0.0297023809523811</v>
      </c>
      <c r="E167" s="6" t="n">
        <f aca="false">IFERROR(AA167/AB167-1,"")</f>
        <v>0.0116546957582329</v>
      </c>
      <c r="F167" s="3" t="str">
        <f aca="false">IF(OR(D167="",E167=""),"n/a (new)",IF(D167&gt;=0,IF(E167&gt;=0,"Long Buildup","Short Covering"),IF(E167&gt;=0,"Short Buildup","Long Unwinding")))</f>
        <v>Long Buildup</v>
      </c>
      <c r="G167" s="6" t="n">
        <f aca="false">IFERROR(V167/X167-1,"")</f>
        <v>-0.0299354187500583</v>
      </c>
      <c r="H167" s="6" t="n">
        <f aca="false">IFERROR(AA167/AC167-1,"")</f>
        <v>0.00874483610671395</v>
      </c>
      <c r="I167" s="3" t="str">
        <f aca="false">IF(OR(G167="",H167=""),"n/a (new)",IF(G167&gt;=0,IF(H167&gt;=0,"Long Buildup","Short Covering"),IF(H167&gt;=0,"Short Buildup","Long Unwinding")))</f>
        <v>Short Buildup</v>
      </c>
      <c r="J167" s="6" t="n">
        <f aca="false">IFERROR(V167/Y167-1,"")</f>
        <v>0.0420979709039067</v>
      </c>
      <c r="K167" s="6" t="n">
        <f aca="false">IFERROR(AA167/AD167-1,"")</f>
        <v>-0.0954647741042063</v>
      </c>
      <c r="L167" s="3" t="str">
        <f aca="false">IF(OR(J167="",K167=""),"n/a (new)",IF(J167&gt;=0,IF(K167&gt;=0,"Long Buildup","Short Covering"),IF(K167&gt;=0,"Short Buildup","Long Unwinding")))</f>
        <v>Short Covering</v>
      </c>
      <c r="M167" s="6" t="n">
        <f aca="false">IFERROR(V167/Z167-1,"")</f>
        <v>-0.424957617258917</v>
      </c>
      <c r="N167" s="6" t="n">
        <f aca="false">IFERROR(AA167/AE167-1,"")</f>
        <v>1.3808547475852</v>
      </c>
      <c r="O167" s="3" t="str">
        <f aca="false">IF(OR(M167="",N167=""),"n/a (new)",IF(M167&gt;=0,IF(N167&gt;=0,"Long Buildup","Short Covering"),IF(N167&gt;=0,"Short Buildup","Long Unwinding")))</f>
        <v>Short Buildup</v>
      </c>
      <c r="P167" s="7" t="n">
        <f aca="false">IFERROR(AF167/AG167,"")</f>
        <v>0.570427944403804</v>
      </c>
      <c r="Q167" s="7" t="n">
        <f aca="false">IFERROR(AH167/AI167,"")</f>
        <v>0.456635453664837</v>
      </c>
      <c r="V167" s="9" t="n">
        <v>1037.94</v>
      </c>
      <c r="W167" s="9" t="n">
        <v>1008</v>
      </c>
      <c r="X167" s="9" t="n">
        <v>1069.97</v>
      </c>
      <c r="Y167" s="9" t="n">
        <v>996.01</v>
      </c>
      <c r="Z167" s="9" t="n">
        <v>1804.98</v>
      </c>
      <c r="AA167" s="10" t="n">
        <v>18289250</v>
      </c>
      <c r="AB167" s="10" t="n">
        <v>18078550</v>
      </c>
      <c r="AC167" s="10" t="n">
        <v>18130700</v>
      </c>
      <c r="AD167" s="10" t="n">
        <v>20219500</v>
      </c>
      <c r="AE167" s="10" t="n">
        <v>7681800</v>
      </c>
      <c r="AF167" s="10" t="n">
        <v>10916850</v>
      </c>
      <c r="AG167" s="10" t="n">
        <v>19138000</v>
      </c>
      <c r="AH167" s="10" t="n">
        <v>12374250</v>
      </c>
      <c r="AI167" s="10" t="n">
        <v>27098750</v>
      </c>
    </row>
    <row r="168" customFormat="false" ht="15" hidden="false" customHeight="false" outlineLevel="0" collapsed="false">
      <c r="A168" s="3" t="n">
        <v>165</v>
      </c>
      <c r="B168" s="4" t="s">
        <v>202</v>
      </c>
      <c r="C168" s="5" t="n">
        <v>-12.91</v>
      </c>
      <c r="D168" s="6" t="n">
        <f aca="false">IFERROR(V168/W168-1,"")</f>
        <v>0.0204142386622752</v>
      </c>
      <c r="E168" s="6" t="n">
        <f aca="false">IFERROR(AA168/AB168-1,"")</f>
        <v>0.0137803610608569</v>
      </c>
      <c r="F168" s="3" t="str">
        <f aca="false">IF(OR(D168="",E168=""),"n/a (new)",IF(D168&gt;=0,IF(E168&gt;=0,"Long Buildup","Short Covering"),IF(E168&gt;=0,"Short Buildup","Long Unwinding")))</f>
        <v>Long Buildup</v>
      </c>
      <c r="G168" s="6" t="n">
        <f aca="false">IFERROR(V168/X168-1,"")</f>
        <v>-0.0335173075769393</v>
      </c>
      <c r="H168" s="6" t="n">
        <f aca="false">IFERROR(AA168/AC168-1,"")</f>
        <v>0.0880360241262497</v>
      </c>
      <c r="I168" s="3" t="str">
        <f aca="false">IF(OR(G168="",H168=""),"n/a (new)",IF(G168&gt;=0,IF(H168&gt;=0,"Long Buildup","Short Covering"),IF(H168&gt;=0,"Short Buildup","Long Unwinding")))</f>
        <v>Short Buildup</v>
      </c>
      <c r="J168" s="6" t="n">
        <f aca="false">IFERROR(V168/Y168-1,"")</f>
        <v>-0.0206445023981909</v>
      </c>
      <c r="K168" s="6" t="n">
        <f aca="false">IFERROR(AA168/AD168-1,"")</f>
        <v>0.148933385682502</v>
      </c>
      <c r="L168" s="3" t="str">
        <f aca="false">IF(OR(J168="",K168=""),"n/a (new)",IF(J168&gt;=0,IF(K168&gt;=0,"Long Buildup","Short Covering"),IF(K168&gt;=0,"Short Buildup","Long Unwinding")))</f>
        <v>Short Buildup</v>
      </c>
      <c r="M168" s="6" t="n">
        <f aca="false">IFERROR(V168/Z168-1,"")</f>
        <v>-0.0523297195865858</v>
      </c>
      <c r="N168" s="6" t="n">
        <f aca="false">IFERROR(AA168/AE168-1,"")</f>
        <v>0.190964999547798</v>
      </c>
      <c r="O168" s="3" t="str">
        <f aca="false">IF(OR(M168="",N168=""),"n/a (new)",IF(M168&gt;=0,IF(N168&gt;=0,"Long Buildup","Short Covering"),IF(N168&gt;=0,"Short Buildup","Long Unwinding")))</f>
        <v>Short Buildup</v>
      </c>
      <c r="P168" s="7" t="n">
        <f aca="false">IFERROR(AF168/AG168,"")</f>
        <v>0.528956498532159</v>
      </c>
      <c r="Q168" s="7" t="n">
        <f aca="false">IFERROR(AH168/AI168,"")</f>
        <v>0.616398597170154</v>
      </c>
      <c r="V168" s="9" t="n">
        <v>1611.03</v>
      </c>
      <c r="W168" s="9" t="n">
        <v>1578.8</v>
      </c>
      <c r="X168" s="9" t="n">
        <v>1666.9</v>
      </c>
      <c r="Y168" s="9" t="n">
        <v>1644.99</v>
      </c>
      <c r="Z168" s="9" t="n">
        <v>1699.99</v>
      </c>
      <c r="AA168" s="10" t="n">
        <v>14485350</v>
      </c>
      <c r="AB168" s="10" t="n">
        <v>14288450</v>
      </c>
      <c r="AC168" s="10" t="n">
        <v>13313300</v>
      </c>
      <c r="AD168" s="10" t="n">
        <v>12607650</v>
      </c>
      <c r="AE168" s="10" t="n">
        <v>12162700</v>
      </c>
      <c r="AF168" s="10" t="n">
        <v>3270300</v>
      </c>
      <c r="AG168" s="10" t="n">
        <v>6182550</v>
      </c>
      <c r="AH168" s="10" t="n">
        <v>2803350</v>
      </c>
      <c r="AI168" s="10" t="n">
        <v>4547950</v>
      </c>
    </row>
    <row r="169" customFormat="false" ht="15" hidden="false" customHeight="false" outlineLevel="0" collapsed="false">
      <c r="A169" s="3" t="n">
        <v>166</v>
      </c>
      <c r="B169" s="4" t="s">
        <v>203</v>
      </c>
      <c r="C169" s="5" t="n">
        <v>-13.01</v>
      </c>
      <c r="D169" s="6" t="n">
        <f aca="false">IFERROR(V169/W169-1,"")</f>
        <v>-0.00708502024291502</v>
      </c>
      <c r="E169" s="6" t="n">
        <f aca="false">IFERROR(AA169/AB169-1,"")</f>
        <v>-0.0384174311926605</v>
      </c>
      <c r="F169" s="3" t="str">
        <f aca="false">IF(OR(D169="",E169=""),"n/a (new)",IF(D169&gt;=0,IF(E169&gt;=0,"Long Buildup","Short Covering"),IF(E169&gt;=0,"Short Buildup","Long Unwinding")))</f>
        <v>Long Unwinding</v>
      </c>
      <c r="G169" s="6" t="n">
        <f aca="false">IFERROR(V169/X169-1,"")</f>
        <v>-0.0162948107295061</v>
      </c>
      <c r="H169" s="6" t="n">
        <f aca="false">IFERROR(AA169/AC169-1,"")</f>
        <v>-0.0629976253666713</v>
      </c>
      <c r="I169" s="3" t="str">
        <f aca="false">IF(OR(G169="",H169=""),"n/a (new)",IF(G169&gt;=0,IF(H169&gt;=0,"Long Buildup","Short Covering"),IF(H169&gt;=0,"Short Buildup","Long Unwinding")))</f>
        <v>Long Unwinding</v>
      </c>
      <c r="J169" s="6" t="n">
        <f aca="false">IFERROR(V169/Y169-1,"")</f>
        <v>-0.0435100548446069</v>
      </c>
      <c r="K169" s="6" t="n">
        <f aca="false">IFERROR(AA169/AD169-1,"")</f>
        <v>0.109677419354839</v>
      </c>
      <c r="L169" s="3" t="str">
        <f aca="false">IF(OR(J169="",K169=""),"n/a (new)",IF(J169&gt;=0,IF(K169&gt;=0,"Long Buildup","Short Covering"),IF(K169&gt;=0,"Short Buildup","Long Unwinding")))</f>
        <v>Short Buildup</v>
      </c>
      <c r="M169" s="6" t="n">
        <f aca="false">IFERROR(V169/Z169-1,"")</f>
        <v>-0.0475728155339806</v>
      </c>
      <c r="N169" s="6" t="n">
        <f aca="false">IFERROR(AA169/AE169-1,"")</f>
        <v>0.324383020730503</v>
      </c>
      <c r="O169" s="3" t="str">
        <f aca="false">IF(OR(M169="",N169=""),"n/a (new)",IF(M169&gt;=0,IF(N169&gt;=0,"Long Buildup","Short Covering"),IF(N169&gt;=0,"Short Buildup","Long Unwinding")))</f>
        <v>Short Buildup</v>
      </c>
      <c r="P169" s="7" t="n">
        <f aca="false">IFERROR(AF169/AG169,"")</f>
        <v>0.704510451045105</v>
      </c>
      <c r="Q169" s="7" t="n">
        <f aca="false">IFERROR(AH169/AI169,"")</f>
        <v>0.557346559206448</v>
      </c>
      <c r="V169" s="9" t="n">
        <v>78.48</v>
      </c>
      <c r="W169" s="9" t="n">
        <v>79.04</v>
      </c>
      <c r="X169" s="9" t="n">
        <v>79.78</v>
      </c>
      <c r="Y169" s="9" t="n">
        <v>82.05</v>
      </c>
      <c r="Z169" s="9" t="n">
        <v>82.4</v>
      </c>
      <c r="AA169" s="10" t="n">
        <v>43602000</v>
      </c>
      <c r="AB169" s="10" t="n">
        <v>45344000</v>
      </c>
      <c r="AC169" s="10" t="n">
        <v>46533500</v>
      </c>
      <c r="AD169" s="10" t="n">
        <v>39292500</v>
      </c>
      <c r="AE169" s="10" t="n">
        <v>32922500</v>
      </c>
      <c r="AF169" s="10" t="n">
        <v>20813000</v>
      </c>
      <c r="AG169" s="10" t="n">
        <v>29542500</v>
      </c>
      <c r="AH169" s="10" t="n">
        <v>11687000</v>
      </c>
      <c r="AI169" s="10" t="n">
        <v>20969000</v>
      </c>
    </row>
    <row r="170" customFormat="false" ht="15" hidden="false" customHeight="false" outlineLevel="0" collapsed="false">
      <c r="A170" s="3" t="n">
        <v>167</v>
      </c>
      <c r="B170" s="4" t="s">
        <v>204</v>
      </c>
      <c r="C170" s="5" t="n">
        <v>-13.16</v>
      </c>
      <c r="D170" s="6" t="n">
        <f aca="false">IFERROR(V170/W170-1,"")</f>
        <v>-0.00226485478284044</v>
      </c>
      <c r="E170" s="6" t="n">
        <f aca="false">IFERROR(AA170/AB170-1,"")</f>
        <v>0.00820940717313778</v>
      </c>
      <c r="F170" s="3" t="str">
        <f aca="false">IF(OR(D170="",E170=""),"n/a (new)",IF(D170&gt;=0,IF(E170&gt;=0,"Long Buildup","Short Covering"),IF(E170&gt;=0,"Short Buildup","Long Unwinding")))</f>
        <v>Short Buildup</v>
      </c>
      <c r="G170" s="6" t="n">
        <f aca="false">IFERROR(V170/X170-1,"")</f>
        <v>-0.0408555327868853</v>
      </c>
      <c r="H170" s="6" t="n">
        <f aca="false">IFERROR(AA170/AC170-1,"")</f>
        <v>0.0121369061022292</v>
      </c>
      <c r="I170" s="3" t="str">
        <f aca="false">IF(OR(G170="",H170=""),"n/a (new)",IF(G170&gt;=0,IF(H170&gt;=0,"Long Buildup","Short Covering"),IF(H170&gt;=0,"Short Buildup","Long Unwinding")))</f>
        <v>Short Buildup</v>
      </c>
      <c r="J170" s="6" t="n">
        <f aca="false">IFERROR(V170/Y170-1,"")</f>
        <v>-0.0455008921743563</v>
      </c>
      <c r="K170" s="6" t="n">
        <f aca="false">IFERROR(AA170/AD170-1,"")</f>
        <v>0.00512075134168155</v>
      </c>
      <c r="L170" s="3" t="str">
        <f aca="false">IF(OR(J170="",K170=""),"n/a (new)",IF(J170&gt;=0,IF(K170&gt;=0,"Long Buildup","Short Covering"),IF(K170&gt;=0,"Short Buildup","Long Unwinding")))</f>
        <v>Short Buildup</v>
      </c>
      <c r="M170" s="6" t="n">
        <f aca="false">IFERROR(V170/Z170-1,"")</f>
        <v>-0.122759751669205</v>
      </c>
      <c r="N170" s="6" t="n">
        <f aca="false">IFERROR(AA170/AE170-1,"")</f>
        <v>0.0273117886364676</v>
      </c>
      <c r="O170" s="3" t="str">
        <f aca="false">IF(OR(M170="",N170=""),"n/a (new)",IF(M170&gt;=0,IF(N170&gt;=0,"Long Buildup","Short Covering"),IF(N170&gt;=0,"Short Buildup","Long Unwinding")))</f>
        <v>Short Buildup</v>
      </c>
      <c r="P170" s="7" t="n">
        <f aca="false">IFERROR(AF170/AG170,"")</f>
        <v>0.626109720009105</v>
      </c>
      <c r="Q170" s="7" t="n">
        <f aca="false">IFERROR(AH170/AI170,"")</f>
        <v>0.690418454268482</v>
      </c>
      <c r="V170" s="9" t="n">
        <v>74.89</v>
      </c>
      <c r="W170" s="9" t="n">
        <v>75.06</v>
      </c>
      <c r="X170" s="9" t="n">
        <v>78.08</v>
      </c>
      <c r="Y170" s="9" t="n">
        <v>78.46</v>
      </c>
      <c r="Z170" s="9" t="n">
        <v>85.37</v>
      </c>
      <c r="AA170" s="10" t="n">
        <v>416901975</v>
      </c>
      <c r="AB170" s="10" t="n">
        <v>413507325</v>
      </c>
      <c r="AC170" s="10" t="n">
        <v>411902750</v>
      </c>
      <c r="AD170" s="10" t="n">
        <v>414778000</v>
      </c>
      <c r="AE170" s="10" t="n">
        <v>405818350</v>
      </c>
      <c r="AF170" s="10" t="n">
        <v>102043550</v>
      </c>
      <c r="AG170" s="10" t="n">
        <v>162980300</v>
      </c>
      <c r="AH170" s="10" t="n">
        <v>102989600</v>
      </c>
      <c r="AI170" s="10" t="n">
        <v>149169825</v>
      </c>
    </row>
    <row r="171" customFormat="false" ht="15" hidden="false" customHeight="false" outlineLevel="0" collapsed="false">
      <c r="A171" s="3" t="n">
        <v>168</v>
      </c>
      <c r="B171" s="4" t="s">
        <v>205</v>
      </c>
      <c r="C171" s="5" t="n">
        <v>-13.2</v>
      </c>
      <c r="D171" s="6" t="n">
        <f aca="false">IFERROR(V171/W171-1,"")</f>
        <v>-0.00812006496051965</v>
      </c>
      <c r="E171" s="6" t="n">
        <f aca="false">IFERROR(AA171/AB171-1,"")</f>
        <v>0.0062664907651715</v>
      </c>
      <c r="F171" s="3" t="str">
        <f aca="false">IF(OR(D171="",E171=""),"n/a (new)",IF(D171&gt;=0,IF(E171&gt;=0,"Long Buildup","Short Covering"),IF(E171&gt;=0,"Short Buildup","Long Unwinding")))</f>
        <v>Short Buildup</v>
      </c>
      <c r="G171" s="6" t="n">
        <f aca="false">IFERROR(V171/X171-1,"")</f>
        <v>-0.0246803449301218</v>
      </c>
      <c r="H171" s="6" t="n">
        <f aca="false">IFERROR(AA171/AC171-1,"")</f>
        <v>0.0117538688282977</v>
      </c>
      <c r="I171" s="3" t="str">
        <f aca="false">IF(OR(G171="",H171=""),"n/a (new)",IF(G171&gt;=0,IF(H171&gt;=0,"Long Buildup","Short Covering"),IF(H171&gt;=0,"Short Buildup","Long Unwinding")))</f>
        <v>Short Buildup</v>
      </c>
      <c r="J171" s="6" t="n">
        <f aca="false">IFERROR(V171/Y171-1,"")</f>
        <v>-0.0051226745753572</v>
      </c>
      <c r="K171" s="6" t="n">
        <f aca="false">IFERROR(AA171/AD171-1,"")</f>
        <v>0.124124943709829</v>
      </c>
      <c r="L171" s="3" t="str">
        <f aca="false">IF(OR(J171="",K171=""),"n/a (new)",IF(J171&gt;=0,IF(K171&gt;=0,"Long Buildup","Short Covering"),IF(K171&gt;=0,"Short Buildup","Long Unwinding")))</f>
        <v>Short Buildup</v>
      </c>
      <c r="M171" s="6" t="n">
        <f aca="false">IFERROR(V171/Z171-1,"")</f>
        <v>-0.089825282631038</v>
      </c>
      <c r="N171" s="6" t="n">
        <f aca="false">IFERROR(AA171/AE171-1,"")</f>
        <v>0.103435804701628</v>
      </c>
      <c r="O171" s="3" t="str">
        <f aca="false">IF(OR(M171="",N171=""),"n/a (new)",IF(M171&gt;=0,IF(N171&gt;=0,"Long Buildup","Short Covering"),IF(N171&gt;=0,"Short Buildup","Long Unwinding")))</f>
        <v>Short Buildup</v>
      </c>
      <c r="P171" s="7" t="n">
        <f aca="false">IFERROR(AF171/AG171,"")</f>
        <v>0.846167141992913</v>
      </c>
      <c r="Q171" s="7" t="n">
        <f aca="false">IFERROR(AH171/AI171,"")</f>
        <v>0.925074308788066</v>
      </c>
      <c r="V171" s="9" t="n">
        <v>885.6</v>
      </c>
      <c r="W171" s="9" t="n">
        <v>892.85</v>
      </c>
      <c r="X171" s="9" t="n">
        <v>908.01</v>
      </c>
      <c r="Y171" s="9" t="n">
        <v>890.16</v>
      </c>
      <c r="Z171" s="9" t="n">
        <v>973</v>
      </c>
      <c r="AA171" s="10" t="n">
        <v>57663900</v>
      </c>
      <c r="AB171" s="10" t="n">
        <v>57304800</v>
      </c>
      <c r="AC171" s="10" t="n">
        <v>56994000</v>
      </c>
      <c r="AD171" s="10" t="n">
        <v>51296700</v>
      </c>
      <c r="AE171" s="10" t="n">
        <v>52258500</v>
      </c>
      <c r="AF171" s="10" t="n">
        <v>13707400</v>
      </c>
      <c r="AG171" s="10" t="n">
        <v>16199400</v>
      </c>
      <c r="AH171" s="10" t="n">
        <v>11546500</v>
      </c>
      <c r="AI171" s="10" t="n">
        <v>12481700</v>
      </c>
    </row>
    <row r="172" customFormat="false" ht="15" hidden="false" customHeight="false" outlineLevel="0" collapsed="false">
      <c r="A172" s="3" t="n">
        <v>169</v>
      </c>
      <c r="B172" s="4" t="s">
        <v>206</v>
      </c>
      <c r="C172" s="5" t="n">
        <v>-13.22</v>
      </c>
      <c r="D172" s="6" t="n">
        <f aca="false">IFERROR(V172/W172-1,"")</f>
        <v>-0.00930498101944122</v>
      </c>
      <c r="E172" s="6" t="n">
        <f aca="false">IFERROR(AA172/AB172-1,"")</f>
        <v>-0.00829517749895936</v>
      </c>
      <c r="F172" s="3" t="str">
        <f aca="false">IF(OR(D172="",E172=""),"n/a (new)",IF(D172&gt;=0,IF(E172&gt;=0,"Long Buildup","Short Covering"),IF(E172&gt;=0,"Short Buildup","Long Unwinding")))</f>
        <v>Long Unwinding</v>
      </c>
      <c r="G172" s="6" t="n">
        <f aca="false">IFERROR(V172/X172-1,"")</f>
        <v>-0.0389156099693923</v>
      </c>
      <c r="H172" s="6" t="n">
        <f aca="false">IFERROR(AA172/AC172-1,"")</f>
        <v>0.00594125098015552</v>
      </c>
      <c r="I172" s="3" t="str">
        <f aca="false">IF(OR(G172="",H172=""),"n/a (new)",IF(G172&gt;=0,IF(H172&gt;=0,"Long Buildup","Short Covering"),IF(H172&gt;=0,"Short Buildup","Long Unwinding")))</f>
        <v>Short Buildup</v>
      </c>
      <c r="J172" s="6" t="n">
        <f aca="false">IFERROR(V172/Y172-1,"")</f>
        <v>-0.0415697674418605</v>
      </c>
      <c r="K172" s="6" t="n">
        <f aca="false">IFERROR(AA172/AD172-1,"")</f>
        <v>0.134446636283246</v>
      </c>
      <c r="L172" s="3" t="str">
        <f aca="false">IF(OR(J172="",K172=""),"n/a (new)",IF(J172&gt;=0,IF(K172&gt;=0,"Long Buildup","Short Covering"),IF(K172&gt;=0,"Short Buildup","Long Unwinding")))</f>
        <v>Short Buildup</v>
      </c>
      <c r="M172" s="6" t="n">
        <f aca="false">IFERROR(V172/Z172-1,"")</f>
        <v>-0.10147981940571</v>
      </c>
      <c r="N172" s="6" t="n">
        <f aca="false">IFERROR(AA172/AE172-1,"")</f>
        <v>0.0190644954324646</v>
      </c>
      <c r="O172" s="3" t="str">
        <f aca="false">IF(OR(M172="",N172=""),"n/a (new)",IF(M172&gt;=0,IF(N172&gt;=0,"Long Buildup","Short Covering"),IF(N172&gt;=0,"Short Buildup","Long Unwinding")))</f>
        <v>Short Buildup</v>
      </c>
      <c r="P172" s="7" t="n">
        <f aca="false">IFERROR(AF172/AG172,"")</f>
        <v>0.628382743521642</v>
      </c>
      <c r="Q172" s="7" t="n">
        <f aca="false">IFERROR(AH172/AI172,"")</f>
        <v>0.669233989116785</v>
      </c>
      <c r="V172" s="9" t="n">
        <v>989.1</v>
      </c>
      <c r="W172" s="9" t="n">
        <v>998.39</v>
      </c>
      <c r="X172" s="9" t="n">
        <v>1029.15</v>
      </c>
      <c r="Y172" s="9" t="n">
        <v>1032</v>
      </c>
      <c r="Z172" s="9" t="n">
        <v>1100.81</v>
      </c>
      <c r="AA172" s="10" t="n">
        <v>12508125</v>
      </c>
      <c r="AB172" s="10" t="n">
        <v>12612750</v>
      </c>
      <c r="AC172" s="10" t="n">
        <v>12434250</v>
      </c>
      <c r="AD172" s="10" t="n">
        <v>11025750</v>
      </c>
      <c r="AE172" s="10" t="n">
        <v>12274125</v>
      </c>
      <c r="AF172" s="10" t="n">
        <v>3282750</v>
      </c>
      <c r="AG172" s="10" t="n">
        <v>5224125</v>
      </c>
      <c r="AH172" s="10" t="n">
        <v>2997750</v>
      </c>
      <c r="AI172" s="10" t="n">
        <v>4479375</v>
      </c>
    </row>
    <row r="173" customFormat="false" ht="15" hidden="false" customHeight="false" outlineLevel="0" collapsed="false">
      <c r="A173" s="3" t="n">
        <v>170</v>
      </c>
      <c r="B173" s="4" t="s">
        <v>207</v>
      </c>
      <c r="C173" s="5" t="n">
        <v>-13.45</v>
      </c>
      <c r="D173" s="6" t="n">
        <f aca="false">IFERROR(V173/W173-1,"")</f>
        <v>-0.0172518789747543</v>
      </c>
      <c r="E173" s="6" t="n">
        <f aca="false">IFERROR(AA173/AB173-1,"")</f>
        <v>-0.00273649935917419</v>
      </c>
      <c r="F173" s="3" t="str">
        <f aca="false">IF(OR(D173="",E173=""),"n/a (new)",IF(D173&gt;=0,IF(E173&gt;=0,"Long Buildup","Short Covering"),IF(E173&gt;=0,"Short Buildup","Long Unwinding")))</f>
        <v>Long Unwinding</v>
      </c>
      <c r="G173" s="6" t="n">
        <f aca="false">IFERROR(V173/X173-1,"")</f>
        <v>-0.05283491272191</v>
      </c>
      <c r="H173" s="6" t="n">
        <f aca="false">IFERROR(AA173/AC173-1,"")</f>
        <v>0.00858293921877729</v>
      </c>
      <c r="I173" s="3" t="str">
        <f aca="false">IF(OR(G173="",H173=""),"n/a (new)",IF(G173&gt;=0,IF(H173&gt;=0,"Long Buildup","Short Covering"),IF(H173&gt;=0,"Short Buildup","Long Unwinding")))</f>
        <v>Short Buildup</v>
      </c>
      <c r="J173" s="6" t="n">
        <f aca="false">IFERROR(V173/Y173-1,"")</f>
        <v>-0.0178159391985331</v>
      </c>
      <c r="K173" s="6" t="n">
        <f aca="false">IFERROR(AA173/AD173-1,"")</f>
        <v>0.00184431221073877</v>
      </c>
      <c r="L173" s="3" t="str">
        <f aca="false">IF(OR(J173="",K173=""),"n/a (new)",IF(J173&gt;=0,IF(K173&gt;=0,"Long Buildup","Short Covering"),IF(K173&gt;=0,"Short Buildup","Long Unwinding")))</f>
        <v>Short Buildup</v>
      </c>
      <c r="M173" s="6" t="n">
        <f aca="false">IFERROR(V173/Z173-1,"")</f>
        <v>-0.149136535798308</v>
      </c>
      <c r="N173" s="6" t="n">
        <f aca="false">IFERROR(AA173/AE173-1,"")</f>
        <v>0.0789236995952631</v>
      </c>
      <c r="O173" s="3" t="str">
        <f aca="false">IF(OR(M173="",N173=""),"n/a (new)",IF(M173&gt;=0,IF(N173&gt;=0,"Long Buildup","Short Covering"),IF(N173&gt;=0,"Short Buildup","Long Unwinding")))</f>
        <v>Short Buildup</v>
      </c>
      <c r="P173" s="7" t="n">
        <f aca="false">IFERROR(AF173/AG173,"")</f>
        <v>0.628717824333748</v>
      </c>
      <c r="Q173" s="7" t="n">
        <f aca="false">IFERROR(AH173/AI173,"")</f>
        <v>0.551253419686226</v>
      </c>
      <c r="V173" s="9" t="n">
        <v>2549.74</v>
      </c>
      <c r="W173" s="9" t="n">
        <v>2594.5</v>
      </c>
      <c r="X173" s="9" t="n">
        <v>2691.97</v>
      </c>
      <c r="Y173" s="9" t="n">
        <v>2595.99</v>
      </c>
      <c r="Z173" s="9" t="n">
        <v>2996.65</v>
      </c>
      <c r="AA173" s="10" t="n">
        <v>17792220</v>
      </c>
      <c r="AB173" s="10" t="n">
        <v>17841042</v>
      </c>
      <c r="AC173" s="10" t="n">
        <v>17640810</v>
      </c>
      <c r="AD173" s="10" t="n">
        <v>17759466</v>
      </c>
      <c r="AE173" s="10" t="n">
        <v>16490712</v>
      </c>
      <c r="AF173" s="10" t="n">
        <v>6407733</v>
      </c>
      <c r="AG173" s="10" t="n">
        <v>10191747</v>
      </c>
      <c r="AH173" s="10" t="n">
        <v>6101823</v>
      </c>
      <c r="AI173" s="10" t="n">
        <v>11068998</v>
      </c>
    </row>
    <row r="174" customFormat="false" ht="15" hidden="false" customHeight="false" outlineLevel="0" collapsed="false">
      <c r="A174" s="3" t="n">
        <v>171</v>
      </c>
      <c r="B174" s="4" t="s">
        <v>208</v>
      </c>
      <c r="C174" s="5" t="n">
        <v>-13.46</v>
      </c>
      <c r="D174" s="6" t="n">
        <f aca="false">IFERROR(V174/W174-1,"")</f>
        <v>-0.024718237704918</v>
      </c>
      <c r="E174" s="6" t="n">
        <f aca="false">IFERROR(AA174/AB174-1,"")</f>
        <v>0.0369080426733393</v>
      </c>
      <c r="F174" s="3" t="str">
        <f aca="false">IF(OR(D174="",E174=""),"n/a (new)",IF(D174&gt;=0,IF(E174&gt;=0,"Long Buildup","Short Covering"),IF(E174&gt;=0,"Short Buildup","Long Unwinding")))</f>
        <v>Short Buildup</v>
      </c>
      <c r="G174" s="6" t="n">
        <f aca="false">IFERROR(V174/X174-1,"")</f>
        <v>-0.0636335690132185</v>
      </c>
      <c r="H174" s="6" t="n">
        <f aca="false">IFERROR(AA174/AC174-1,"")</f>
        <v>0.0942211279416225</v>
      </c>
      <c r="I174" s="3" t="str">
        <f aca="false">IF(OR(G174="",H174=""),"n/a (new)",IF(G174&gt;=0,IF(H174&gt;=0,"Long Buildup","Short Covering"),IF(H174&gt;=0,"Short Buildup","Long Unwinding")))</f>
        <v>Short Buildup</v>
      </c>
      <c r="J174" s="6" t="n">
        <f aca="false">IFERROR(V174/Y174-1,"")</f>
        <v>-0.0512676758238335</v>
      </c>
      <c r="K174" s="6" t="n">
        <f aca="false">IFERROR(AA174/AD174-1,"")</f>
        <v>0.0413624477875505</v>
      </c>
      <c r="L174" s="3" t="str">
        <f aca="false">IF(OR(J174="",K174=""),"n/a (new)",IF(J174&gt;=0,IF(K174&gt;=0,"Long Buildup","Short Covering"),IF(K174&gt;=0,"Short Buildup","Long Unwinding")))</f>
        <v>Short Buildup</v>
      </c>
      <c r="M174" s="6" t="n">
        <f aca="false">IFERROR(V174/Z174-1,"")</f>
        <v>-0.109356725146199</v>
      </c>
      <c r="N174" s="6" t="n">
        <f aca="false">IFERROR(AA174/AE174-1,"")</f>
        <v>-0.0354643390736809</v>
      </c>
      <c r="O174" s="3" t="str">
        <f aca="false">IF(OR(M174="",N174=""),"n/a (new)",IF(M174&gt;=0,IF(N174&gt;=0,"Long Buildup","Short Covering"),IF(N174&gt;=0,"Short Buildup","Long Unwinding")))</f>
        <v>Long Unwinding</v>
      </c>
      <c r="P174" s="7" t="n">
        <f aca="false">IFERROR(AF174/AG174,"")</f>
        <v>0.480151320416131</v>
      </c>
      <c r="Q174" s="7" t="n">
        <f aca="false">IFERROR(AH174/AI174,"")</f>
        <v>0.675872015383794</v>
      </c>
      <c r="V174" s="9" t="n">
        <v>304.6</v>
      </c>
      <c r="W174" s="9" t="n">
        <v>312.32</v>
      </c>
      <c r="X174" s="9" t="n">
        <v>325.3</v>
      </c>
      <c r="Y174" s="9" t="n">
        <v>321.06</v>
      </c>
      <c r="Z174" s="9" t="n">
        <v>342</v>
      </c>
      <c r="AA174" s="10" t="n">
        <v>148725250</v>
      </c>
      <c r="AB174" s="10" t="n">
        <v>143431475</v>
      </c>
      <c r="AC174" s="10" t="n">
        <v>135918825</v>
      </c>
      <c r="AD174" s="10" t="n">
        <v>142817950</v>
      </c>
      <c r="AE174" s="10" t="n">
        <v>154193625</v>
      </c>
      <c r="AF174" s="10" t="n">
        <v>48015000</v>
      </c>
      <c r="AG174" s="10" t="n">
        <v>99999725</v>
      </c>
      <c r="AH174" s="10" t="n">
        <v>30683525</v>
      </c>
      <c r="AI174" s="10" t="n">
        <v>45398425</v>
      </c>
    </row>
    <row r="175" customFormat="false" ht="15" hidden="false" customHeight="false" outlineLevel="0" collapsed="false">
      <c r="A175" s="3" t="n">
        <v>172</v>
      </c>
      <c r="B175" s="4" t="s">
        <v>209</v>
      </c>
      <c r="C175" s="5" t="n">
        <v>-13.52</v>
      </c>
      <c r="D175" s="6" t="n">
        <f aca="false">IFERROR(V175/W175-1,"")</f>
        <v>-0.00448638613861396</v>
      </c>
      <c r="E175" s="6" t="n">
        <f aca="false">IFERROR(AA175/AB175-1,"")</f>
        <v>0.0166356985251424</v>
      </c>
      <c r="F175" s="3" t="str">
        <f aca="false">IF(OR(D175="",E175=""),"n/a (new)",IF(D175&gt;=0,IF(E175&gt;=0,"Long Buildup","Short Covering"),IF(E175&gt;=0,"Short Buildup","Long Unwinding")))</f>
        <v>Short Buildup</v>
      </c>
      <c r="G175" s="6" t="n">
        <f aca="false">IFERROR(V175/X175-1,"")</f>
        <v>-0.0415447630193097</v>
      </c>
      <c r="H175" s="6" t="n">
        <f aca="false">IFERROR(AA175/AC175-1,"")</f>
        <v>0.0424518472209818</v>
      </c>
      <c r="I175" s="3" t="str">
        <f aca="false">IF(OR(G175="",H175=""),"n/a (new)",IF(G175&gt;=0,IF(H175&gt;=0,"Long Buildup","Short Covering"),IF(H175&gt;=0,"Short Buildup","Long Unwinding")))</f>
        <v>Short Buildup</v>
      </c>
      <c r="J175" s="6" t="n">
        <f aca="false">IFERROR(V175/Y175-1,"")</f>
        <v>-0.0178250204415372</v>
      </c>
      <c r="K175" s="6" t="n">
        <f aca="false">IFERROR(AA175/AD175-1,"")</f>
        <v>0.102480952081103</v>
      </c>
      <c r="L175" s="3" t="str">
        <f aca="false">IF(OR(J175="",K175=""),"n/a (new)",IF(J175&gt;=0,IF(K175&gt;=0,"Long Buildup","Short Covering"),IF(K175&gt;=0,"Short Buildup","Long Unwinding")))</f>
        <v>Short Buildup</v>
      </c>
      <c r="M175" s="6" t="n">
        <f aca="false">IFERROR(V175/Z175-1,"")</f>
        <v>-0.104473161033797</v>
      </c>
      <c r="N175" s="6" t="n">
        <f aca="false">IFERROR(AA175/AE175-1,"")</f>
        <v>0.00410047599931174</v>
      </c>
      <c r="O175" s="3" t="str">
        <f aca="false">IF(OR(M175="",N175=""),"n/a (new)",IF(M175&gt;=0,IF(N175&gt;=0,"Long Buildup","Short Covering"),IF(N175&gt;=0,"Short Buildup","Long Unwinding")))</f>
        <v>Short Buildup</v>
      </c>
      <c r="P175" s="7" t="n">
        <f aca="false">IFERROR(AF175/AG175,"")</f>
        <v>0.588856498542434</v>
      </c>
      <c r="Q175" s="7" t="n">
        <f aca="false">IFERROR(AH175/AI175,"")</f>
        <v>0.723083818915285</v>
      </c>
      <c r="V175" s="9" t="n">
        <v>900.9</v>
      </c>
      <c r="W175" s="9" t="n">
        <v>904.96</v>
      </c>
      <c r="X175" s="9" t="n">
        <v>939.95</v>
      </c>
      <c r="Y175" s="9" t="n">
        <v>917.25</v>
      </c>
      <c r="Z175" s="9" t="n">
        <v>1006</v>
      </c>
      <c r="AA175" s="10" t="n">
        <v>28889025</v>
      </c>
      <c r="AB175" s="10" t="n">
        <v>28416300</v>
      </c>
      <c r="AC175" s="10" t="n">
        <v>27712575</v>
      </c>
      <c r="AD175" s="10" t="n">
        <v>26203650</v>
      </c>
      <c r="AE175" s="10" t="n">
        <v>28771050</v>
      </c>
      <c r="AF175" s="10" t="n">
        <v>8832450</v>
      </c>
      <c r="AG175" s="10" t="n">
        <v>14999325</v>
      </c>
      <c r="AH175" s="10" t="n">
        <v>6654450</v>
      </c>
      <c r="AI175" s="10" t="n">
        <v>9202875</v>
      </c>
    </row>
    <row r="176" customFormat="false" ht="15" hidden="false" customHeight="false" outlineLevel="0" collapsed="false">
      <c r="A176" s="3" t="n">
        <v>173</v>
      </c>
      <c r="B176" s="4" t="s">
        <v>210</v>
      </c>
      <c r="C176" s="5" t="n">
        <v>-13.75</v>
      </c>
      <c r="D176" s="6" t="n">
        <f aca="false">IFERROR(V176/W176-1,"")</f>
        <v>-0.00679084206441594</v>
      </c>
      <c r="E176" s="6" t="n">
        <f aca="false">IFERROR(AA176/AB176-1,"")</f>
        <v>-0.0017664872139973</v>
      </c>
      <c r="F176" s="3" t="str">
        <f aca="false">IF(OR(D176="",E176=""),"n/a (new)",IF(D176&gt;=0,IF(E176&gt;=0,"Long Buildup","Short Covering"),IF(E176&gt;=0,"Short Buildup","Long Unwinding")))</f>
        <v>Long Unwinding</v>
      </c>
      <c r="G176" s="6" t="n">
        <f aca="false">IFERROR(V176/X176-1,"")</f>
        <v>-0.021071766847177</v>
      </c>
      <c r="H176" s="6" t="n">
        <f aca="false">IFERROR(AA176/AC176-1,"")</f>
        <v>0.00601898948796209</v>
      </c>
      <c r="I176" s="3" t="str">
        <f aca="false">IF(OR(G176="",H176=""),"n/a (new)",IF(G176&gt;=0,IF(H176&gt;=0,"Long Buildup","Short Covering"),IF(H176&gt;=0,"Short Buildup","Long Unwinding")))</f>
        <v>Short Buildup</v>
      </c>
      <c r="J176" s="6" t="n">
        <f aca="false">IFERROR(V176/Y176-1,"")</f>
        <v>-0.0021099223686174</v>
      </c>
      <c r="K176" s="6" t="n">
        <f aca="false">IFERROR(AA176/AD176-1,"")</f>
        <v>0.042702750197698</v>
      </c>
      <c r="L176" s="3" t="str">
        <f aca="false">IF(OR(J176="",K176=""),"n/a (new)",IF(J176&gt;=0,IF(K176&gt;=0,"Long Buildup","Short Covering"),IF(K176&gt;=0,"Short Buildup","Long Unwinding")))</f>
        <v>Short Buildup</v>
      </c>
      <c r="M176" s="6" t="n">
        <f aca="false">IFERROR(V176/Z176-1,"")</f>
        <v>-0.11713980200752</v>
      </c>
      <c r="N176" s="6" t="n">
        <f aca="false">IFERROR(AA176/AE176-1,"")</f>
        <v>0.267977348007266</v>
      </c>
      <c r="O176" s="3" t="str">
        <f aca="false">IF(OR(M176="",N176=""),"n/a (new)",IF(M176&gt;=0,IF(N176&gt;=0,"Long Buildup","Short Covering"),IF(N176&gt;=0,"Short Buildup","Long Unwinding")))</f>
        <v>Short Buildup</v>
      </c>
      <c r="P176" s="7" t="n">
        <f aca="false">IFERROR(AF176/AG176,"")</f>
        <v>0.563552665229623</v>
      </c>
      <c r="Q176" s="7" t="n">
        <f aca="false">IFERROR(AH176/AI176,"")</f>
        <v>0.586659864813162</v>
      </c>
      <c r="V176" s="9" t="n">
        <v>4351.15</v>
      </c>
      <c r="W176" s="9" t="n">
        <v>4380.9</v>
      </c>
      <c r="X176" s="9" t="n">
        <v>4444.81</v>
      </c>
      <c r="Y176" s="9" t="n">
        <v>4360.35</v>
      </c>
      <c r="Z176" s="9" t="n">
        <v>4928.47</v>
      </c>
      <c r="AA176" s="10" t="n">
        <v>6230175</v>
      </c>
      <c r="AB176" s="10" t="n">
        <v>6241200</v>
      </c>
      <c r="AC176" s="10" t="n">
        <v>6192900</v>
      </c>
      <c r="AD176" s="10" t="n">
        <v>5975025</v>
      </c>
      <c r="AE176" s="10" t="n">
        <v>4913475</v>
      </c>
      <c r="AF176" s="10" t="n">
        <v>2699375</v>
      </c>
      <c r="AG176" s="10" t="n">
        <v>4789925</v>
      </c>
      <c r="AH176" s="10" t="n">
        <v>3220000</v>
      </c>
      <c r="AI176" s="10" t="n">
        <v>5488700</v>
      </c>
    </row>
    <row r="177" customFormat="false" ht="15" hidden="false" customHeight="false" outlineLevel="0" collapsed="false">
      <c r="A177" s="3" t="n">
        <v>174</v>
      </c>
      <c r="B177" s="4" t="s">
        <v>211</v>
      </c>
      <c r="C177" s="5" t="n">
        <v>-13.85</v>
      </c>
      <c r="D177" s="6" t="n">
        <f aca="false">IFERROR(V177/W177-1,"")</f>
        <v>-0.019145030159979</v>
      </c>
      <c r="E177" s="6" t="n">
        <f aca="false">IFERROR(AA177/AB177-1,"")</f>
        <v>0.0104086494410849</v>
      </c>
      <c r="F177" s="3" t="str">
        <f aca="false">IF(OR(D177="",E177=""),"n/a (new)",IF(D177&gt;=0,IF(E177&gt;=0,"Long Buildup","Short Covering"),IF(E177&gt;=0,"Short Buildup","Long Unwinding")))</f>
        <v>Short Buildup</v>
      </c>
      <c r="G177" s="6" t="n">
        <f aca="false">IFERROR(V177/X177-1,"")</f>
        <v>-0.0553432463356663</v>
      </c>
      <c r="H177" s="6" t="n">
        <f aca="false">IFERROR(AA177/AC177-1,"")</f>
        <v>0.0359612205020292</v>
      </c>
      <c r="I177" s="3" t="str">
        <f aca="false">IF(OR(G177="",H177=""),"n/a (new)",IF(G177&gt;=0,IF(H177&gt;=0,"Long Buildup","Short Covering"),IF(H177&gt;=0,"Short Buildup","Long Unwinding")))</f>
        <v>Short Buildup</v>
      </c>
      <c r="J177" s="6" t="n">
        <f aca="false">IFERROR(V177/Y177-1,"")</f>
        <v>-0.109156866995215</v>
      </c>
      <c r="K177" s="6" t="n">
        <f aca="false">IFERROR(AA177/AD177-1,"")</f>
        <v>0.0823681834242864</v>
      </c>
      <c r="L177" s="3" t="str">
        <f aca="false">IF(OR(J177="",K177=""),"n/a (new)",IF(J177&gt;=0,IF(K177&gt;=0,"Long Buildup","Short Covering"),IF(K177&gt;=0,"Short Buildup","Long Unwinding")))</f>
        <v>Short Buildup</v>
      </c>
      <c r="M177" s="6" t="n">
        <f aca="false">IFERROR(V177/Z177-1,"")</f>
        <v>-0.139862101956239</v>
      </c>
      <c r="N177" s="6" t="n">
        <f aca="false">IFERROR(AA177/AE177-1,"")</f>
        <v>-0.000724926601181619</v>
      </c>
      <c r="O177" s="3" t="str">
        <f aca="false">IF(OR(M177="",N177=""),"n/a (new)",IF(M177&gt;=0,IF(N177&gt;=0,"Long Buildup","Short Covering"),IF(N177&gt;=0,"Short Buildup","Long Unwinding")))</f>
        <v>Long Unwinding</v>
      </c>
      <c r="P177" s="7" t="n">
        <f aca="false">IFERROR(AF177/AG177,"")</f>
        <v>0.568770113334266</v>
      </c>
      <c r="Q177" s="7" t="n">
        <f aca="false">IFERROR(AH177/AI177,"")</f>
        <v>0.749803097925965</v>
      </c>
      <c r="V177" s="9" t="n">
        <v>3740</v>
      </c>
      <c r="W177" s="9" t="n">
        <v>3813</v>
      </c>
      <c r="X177" s="9" t="n">
        <v>3959.11</v>
      </c>
      <c r="Y177" s="9" t="n">
        <v>4198.27</v>
      </c>
      <c r="Z177" s="9" t="n">
        <v>4348.14</v>
      </c>
      <c r="AA177" s="10" t="n">
        <v>3446125</v>
      </c>
      <c r="AB177" s="10" t="n">
        <v>3410625</v>
      </c>
      <c r="AC177" s="10" t="n">
        <v>3326500</v>
      </c>
      <c r="AD177" s="10" t="n">
        <v>3183875</v>
      </c>
      <c r="AE177" s="10" t="n">
        <v>3448625</v>
      </c>
      <c r="AF177" s="10" t="n">
        <v>1016250</v>
      </c>
      <c r="AG177" s="10" t="n">
        <v>1786750</v>
      </c>
      <c r="AH177" s="10" t="n">
        <v>714000</v>
      </c>
      <c r="AI177" s="10" t="n">
        <v>952250</v>
      </c>
    </row>
    <row r="178" customFormat="false" ht="15" hidden="false" customHeight="false" outlineLevel="0" collapsed="false">
      <c r="A178" s="3" t="n">
        <v>175</v>
      </c>
      <c r="B178" s="4" t="s">
        <v>212</v>
      </c>
      <c r="C178" s="5" t="n">
        <v>-13.92</v>
      </c>
      <c r="D178" s="6" t="n">
        <f aca="false">IFERROR(V178/W178-1,"")</f>
        <v>-0.00566961194524496</v>
      </c>
      <c r="E178" s="6" t="n">
        <f aca="false">IFERROR(AA178/AB178-1,"")</f>
        <v>0.0220356063150824</v>
      </c>
      <c r="F178" s="3" t="str">
        <f aca="false">IF(OR(D178="",E178=""),"n/a (new)",IF(D178&gt;=0,IF(E178&gt;=0,"Long Buildup","Short Covering"),IF(E178&gt;=0,"Short Buildup","Long Unwinding")))</f>
        <v>Short Buildup</v>
      </c>
      <c r="G178" s="6" t="n">
        <f aca="false">IFERROR(V178/X178-1,"")</f>
        <v>-0.0282648930017351</v>
      </c>
      <c r="H178" s="6" t="n">
        <f aca="false">IFERROR(AA178/AC178-1,"")</f>
        <v>0.0622119815668203</v>
      </c>
      <c r="I178" s="3" t="str">
        <f aca="false">IF(OR(G178="",H178=""),"n/a (new)",IF(G178&gt;=0,IF(H178&gt;=0,"Long Buildup","Short Covering"),IF(H178&gt;=0,"Short Buildup","Long Unwinding")))</f>
        <v>Short Buildup</v>
      </c>
      <c r="J178" s="6" t="n">
        <f aca="false">IFERROR(V178/Y178-1,"")</f>
        <v>-0.0163115709108367</v>
      </c>
      <c r="K178" s="6" t="n">
        <f aca="false">IFERROR(AA178/AD178-1,"")</f>
        <v>0.122357888524106</v>
      </c>
      <c r="L178" s="3" t="str">
        <f aca="false">IF(OR(J178="",K178=""),"n/a (new)",IF(J178&gt;=0,IF(K178&gt;=0,"Long Buildup","Short Covering"),IF(K178&gt;=0,"Short Buildup","Long Unwinding")))</f>
        <v>Short Buildup</v>
      </c>
      <c r="M178" s="6" t="n">
        <f aca="false">IFERROR(V178/Z178-1,"")</f>
        <v>-0.0785831020828991</v>
      </c>
      <c r="N178" s="6" t="n">
        <f aca="false">IFERROR(AA178/AE178-1,"")</f>
        <v>0.0851701262572224</v>
      </c>
      <c r="O178" s="3" t="str">
        <f aca="false">IF(OR(M178="",N178=""),"n/a (new)",IF(M178&gt;=0,IF(N178&gt;=0,"Long Buildup","Short Covering"),IF(N178&gt;=0,"Short Buildup","Long Unwinding")))</f>
        <v>Short Buildup</v>
      </c>
      <c r="P178" s="7" t="n">
        <f aca="false">IFERROR(AF178/AG178,"")</f>
        <v>0.695905468535312</v>
      </c>
      <c r="Q178" s="7" t="n">
        <f aca="false">IFERROR(AH178/AI178,"")</f>
        <v>0.815402606080855</v>
      </c>
      <c r="V178" s="9" t="n">
        <v>1680.13</v>
      </c>
      <c r="W178" s="9" t="n">
        <v>1689.71</v>
      </c>
      <c r="X178" s="9" t="n">
        <v>1729</v>
      </c>
      <c r="Y178" s="9" t="n">
        <v>1707.99</v>
      </c>
      <c r="Z178" s="9" t="n">
        <v>1823.42</v>
      </c>
      <c r="AA178" s="10" t="n">
        <v>9127800</v>
      </c>
      <c r="AB178" s="10" t="n">
        <v>8931000</v>
      </c>
      <c r="AC178" s="10" t="n">
        <v>8593200</v>
      </c>
      <c r="AD178" s="10" t="n">
        <v>8132700</v>
      </c>
      <c r="AE178" s="10" t="n">
        <v>8411400</v>
      </c>
      <c r="AF178" s="10" t="n">
        <v>3798600</v>
      </c>
      <c r="AG178" s="10" t="n">
        <v>5458500</v>
      </c>
      <c r="AH178" s="10" t="n">
        <v>2928600</v>
      </c>
      <c r="AI178" s="10" t="n">
        <v>3591600</v>
      </c>
    </row>
    <row r="179" customFormat="false" ht="15" hidden="false" customHeight="false" outlineLevel="0" collapsed="false">
      <c r="A179" s="3" t="n">
        <v>176</v>
      </c>
      <c r="B179" s="4" t="s">
        <v>213</v>
      </c>
      <c r="C179" s="5" t="n">
        <v>-13.99</v>
      </c>
      <c r="D179" s="6" t="n">
        <f aca="false">IFERROR(V179/W179-1,"")</f>
        <v>-0.00113559989802781</v>
      </c>
      <c r="E179" s="6" t="n">
        <f aca="false">IFERROR(AA179/AB179-1,"")</f>
        <v>-0.149822050438177</v>
      </c>
      <c r="F179" s="3" t="str">
        <f aca="false">IF(OR(D179="",E179=""),"n/a (new)",IF(D179&gt;=0,IF(E179&gt;=0,"Long Buildup","Short Covering"),IF(E179&gt;=0,"Short Buildup","Long Unwinding")))</f>
        <v>Long Unwinding</v>
      </c>
      <c r="G179" s="6" t="n">
        <f aca="false">IFERROR(V179/X179-1,"")</f>
        <v>-0.0314606741573034</v>
      </c>
      <c r="H179" s="6" t="n">
        <f aca="false">IFERROR(AA179/AC179-1,"")</f>
        <v>-0.106678997949254</v>
      </c>
      <c r="I179" s="3" t="str">
        <f aca="false">IF(OR(G179="",H179=""),"n/a (new)",IF(G179&gt;=0,IF(H179&gt;=0,"Long Buildup","Short Covering"),IF(H179&gt;=0,"Short Buildup","Long Unwinding")))</f>
        <v>Long Unwinding</v>
      </c>
      <c r="J179" s="6" t="n">
        <f aca="false">IFERROR(V179/Y179-1,"")</f>
        <v>-0.056872141622355</v>
      </c>
      <c r="K179" s="6" t="n">
        <f aca="false">IFERROR(AA179/AD179-1,"")</f>
        <v>0.0554922082858229</v>
      </c>
      <c r="L179" s="3" t="str">
        <f aca="false">IF(OR(J179="",K179=""),"n/a (new)",IF(J179&gt;=0,IF(K179&gt;=0,"Long Buildup","Short Covering"),IF(K179&gt;=0,"Short Buildup","Long Unwinding")))</f>
        <v>Short Buildup</v>
      </c>
      <c r="M179" s="6" t="n">
        <f aca="false">IFERROR(V179/Z179-1,"")</f>
        <v>-0.114316832090089</v>
      </c>
      <c r="N179" s="6" t="n">
        <f aca="false">IFERROR(AA179/AE179-1,"")</f>
        <v>0.235801301663236</v>
      </c>
      <c r="O179" s="3" t="str">
        <f aca="false">IF(OR(M179="",N179=""),"n/a (new)",IF(M179&gt;=0,IF(N179&gt;=0,"Long Buildup","Short Covering"),IF(N179&gt;=0,"Short Buildup","Long Unwinding")))</f>
        <v>Short Buildup</v>
      </c>
      <c r="P179" s="7" t="n">
        <f aca="false">IFERROR(AF179/AG179,"")</f>
        <v>0.649653503464965</v>
      </c>
      <c r="Q179" s="7" t="n">
        <f aca="false">IFERROR(AH179/AI179,"")</f>
        <v>0.815928868709799</v>
      </c>
      <c r="V179" s="9" t="n">
        <v>431</v>
      </c>
      <c r="W179" s="9" t="n">
        <v>431.49</v>
      </c>
      <c r="X179" s="9" t="n">
        <v>445</v>
      </c>
      <c r="Y179" s="9" t="n">
        <v>456.99</v>
      </c>
      <c r="Z179" s="9" t="n">
        <v>486.63</v>
      </c>
      <c r="AA179" s="10" t="n">
        <v>20549800</v>
      </c>
      <c r="AB179" s="10" t="n">
        <v>24171175</v>
      </c>
      <c r="AC179" s="10" t="n">
        <v>23003825</v>
      </c>
      <c r="AD179" s="10" t="n">
        <v>19469400</v>
      </c>
      <c r="AE179" s="10" t="n">
        <v>16628725</v>
      </c>
      <c r="AF179" s="10" t="n">
        <v>5463050</v>
      </c>
      <c r="AG179" s="10" t="n">
        <v>8409175</v>
      </c>
      <c r="AH179" s="10" t="n">
        <v>3989525</v>
      </c>
      <c r="AI179" s="10" t="n">
        <v>4889550</v>
      </c>
    </row>
    <row r="180" customFormat="false" ht="15" hidden="false" customHeight="false" outlineLevel="0" collapsed="false">
      <c r="A180" s="3" t="n">
        <v>177</v>
      </c>
      <c r="B180" s="4" t="s">
        <v>214</v>
      </c>
      <c r="C180" s="5" t="n">
        <v>-14.06</v>
      </c>
      <c r="D180" s="6" t="n">
        <f aca="false">IFERROR(V180/W180-1,"")</f>
        <v>-0.00231866305013562</v>
      </c>
      <c r="E180" s="6" t="n">
        <f aca="false">IFERROR(AA180/AB180-1,"")</f>
        <v>0.00716558001826839</v>
      </c>
      <c r="F180" s="3" t="str">
        <f aca="false">IF(OR(D180="",E180=""),"n/a (new)",IF(D180&gt;=0,IF(E180&gt;=0,"Long Buildup","Short Covering"),IF(E180&gt;=0,"Short Buildup","Long Unwinding")))</f>
        <v>Short Buildup</v>
      </c>
      <c r="G180" s="6" t="n">
        <f aca="false">IFERROR(V180/X180-1,"")</f>
        <v>-0.0273724359013415</v>
      </c>
      <c r="H180" s="6" t="n">
        <f aca="false">IFERROR(AA180/AC180-1,"")</f>
        <v>0.0583338849539949</v>
      </c>
      <c r="I180" s="3" t="str">
        <f aca="false">IF(OR(G180="",H180=""),"n/a (new)",IF(G180&gt;=0,IF(H180&gt;=0,"Long Buildup","Short Covering"),IF(H180&gt;=0,"Short Buildup","Long Unwinding")))</f>
        <v>Short Buildup</v>
      </c>
      <c r="J180" s="6" t="n">
        <f aca="false">IFERROR(V180/Y180-1,"")</f>
        <v>-0.0046700418994412</v>
      </c>
      <c r="K180" s="6" t="n">
        <f aca="false">IFERROR(AA180/AD180-1,"")</f>
        <v>0.132111878208532</v>
      </c>
      <c r="L180" s="3" t="str">
        <f aca="false">IF(OR(J180="",K180=""),"n/a (new)",IF(J180&gt;=0,IF(K180&gt;=0,"Long Buildup","Short Covering"),IF(K180&gt;=0,"Short Buildup","Long Unwinding")))</f>
        <v>Short Buildup</v>
      </c>
      <c r="M180" s="6" t="n">
        <f aca="false">IFERROR(V180/Z180-1,"")</f>
        <v>-0.0833100902378998</v>
      </c>
      <c r="N180" s="6" t="n">
        <f aca="false">IFERROR(AA180/AE180-1,"")</f>
        <v>0.122297487013899</v>
      </c>
      <c r="O180" s="3" t="str">
        <f aca="false">IF(OR(M180="",N180=""),"n/a (new)",IF(M180&gt;=0,IF(N180&gt;=0,"Long Buildup","Short Covering"),IF(N180&gt;=0,"Short Buildup","Long Unwinding")))</f>
        <v>Short Buildup</v>
      </c>
      <c r="P180" s="7" t="n">
        <f aca="false">IFERROR(AF180/AG180,"")</f>
        <v>0.456926096253552</v>
      </c>
      <c r="Q180" s="7" t="n">
        <f aca="false">IFERROR(AH180/AI180,"")</f>
        <v>0.485845832883709</v>
      </c>
      <c r="V180" s="9" t="n">
        <v>11174.45</v>
      </c>
      <c r="W180" s="9" t="n">
        <v>11200.42</v>
      </c>
      <c r="X180" s="9" t="n">
        <v>11488.93</v>
      </c>
      <c r="Y180" s="9" t="n">
        <v>11226.88</v>
      </c>
      <c r="Z180" s="9" t="n">
        <v>12190</v>
      </c>
      <c r="AA180" s="10" t="n">
        <v>3197650</v>
      </c>
      <c r="AB180" s="10" t="n">
        <v>3174900</v>
      </c>
      <c r="AC180" s="10" t="n">
        <v>3021400</v>
      </c>
      <c r="AD180" s="10" t="n">
        <v>2824500</v>
      </c>
      <c r="AE180" s="10" t="n">
        <v>2849200</v>
      </c>
      <c r="AF180" s="10" t="n">
        <v>1559900</v>
      </c>
      <c r="AG180" s="10" t="n">
        <v>3413900</v>
      </c>
      <c r="AH180" s="10" t="n">
        <v>1350700</v>
      </c>
      <c r="AI180" s="10" t="n">
        <v>2780100</v>
      </c>
    </row>
    <row r="181" customFormat="false" ht="15" hidden="false" customHeight="false" outlineLevel="0" collapsed="false">
      <c r="A181" s="3" t="n">
        <v>178</v>
      </c>
      <c r="B181" s="4" t="s">
        <v>215</v>
      </c>
      <c r="C181" s="5" t="n">
        <v>-14.11</v>
      </c>
      <c r="D181" s="6" t="n">
        <f aca="false">IFERROR(V181/W181-1,"")</f>
        <v>-0.0845089066222913</v>
      </c>
      <c r="E181" s="6" t="n">
        <f aca="false">IFERROR(AA181/AB181-1,"")</f>
        <v>-0.0596160323341193</v>
      </c>
      <c r="F181" s="3" t="str">
        <f aca="false">IF(OR(D181="",E181=""),"n/a (new)",IF(D181&gt;=0,IF(E181&gt;=0,"Long Buildup","Short Covering"),IF(E181&gt;=0,"Short Buildup","Long Unwinding")))</f>
        <v>Long Unwinding</v>
      </c>
      <c r="G181" s="6" t="n">
        <f aca="false">IFERROR(V181/X181-1,"")</f>
        <v>-0.135796574014365</v>
      </c>
      <c r="H181" s="6" t="n">
        <f aca="false">IFERROR(AA181/AC181-1,"")</f>
        <v>-0.00442162316360006</v>
      </c>
      <c r="I181" s="3" t="str">
        <f aca="false">IF(OR(G181="",H181=""),"n/a (new)",IF(G181&gt;=0,IF(H181&gt;=0,"Long Buildup","Short Covering"),IF(H181&gt;=0,"Short Buildup","Long Unwinding")))</f>
        <v>Long Unwinding</v>
      </c>
      <c r="J181" s="6" t="n">
        <f aca="false">IFERROR(V181/Y181-1,"")</f>
        <v>-0.154369156735938</v>
      </c>
      <c r="K181" s="6" t="n">
        <f aca="false">IFERROR(AA181/AD181-1,"")</f>
        <v>0.120115542004333</v>
      </c>
      <c r="L181" s="3" t="str">
        <f aca="false">IF(OR(J181="",K181=""),"n/a (new)",IF(J181&gt;=0,IF(K181&gt;=0,"Long Buildup","Short Covering"),IF(K181&gt;=0,"Short Buildup","Long Unwinding")))</f>
        <v>Short Buildup</v>
      </c>
      <c r="M181" s="6" t="n">
        <f aca="false">IFERROR(V181/Z181-1,"")</f>
        <v>-0.153441281387704</v>
      </c>
      <c r="N181" s="6" t="n">
        <f aca="false">IFERROR(AA181/AE181-1,"")</f>
        <v>-0.129078545136939</v>
      </c>
      <c r="O181" s="3" t="str">
        <f aca="false">IF(OR(M181="",N181=""),"n/a (new)",IF(M181&gt;=0,IF(N181&gt;=0,"Long Buildup","Short Covering"),IF(N181&gt;=0,"Short Buildup","Long Unwinding")))</f>
        <v>Long Unwinding</v>
      </c>
      <c r="P181" s="7" t="n">
        <f aca="false">IFERROR(AF181/AG181,"")</f>
        <v>0.649111715243093</v>
      </c>
      <c r="Q181" s="7" t="n">
        <f aca="false">IFERROR(AH181/AI181,"")</f>
        <v>1.19935948759007</v>
      </c>
      <c r="V181" s="9" t="n">
        <v>3873.04</v>
      </c>
      <c r="W181" s="9" t="n">
        <v>4230.56</v>
      </c>
      <c r="X181" s="9" t="n">
        <v>4481.63</v>
      </c>
      <c r="Y181" s="9" t="n">
        <v>4580.06</v>
      </c>
      <c r="Z181" s="9" t="n">
        <v>4575.04</v>
      </c>
      <c r="AA181" s="10" t="n">
        <v>2443000</v>
      </c>
      <c r="AB181" s="10" t="n">
        <v>2597875</v>
      </c>
      <c r="AC181" s="10" t="n">
        <v>2453850</v>
      </c>
      <c r="AD181" s="10" t="n">
        <v>2181025</v>
      </c>
      <c r="AE181" s="10" t="n">
        <v>2805075</v>
      </c>
      <c r="AF181" s="10" t="n">
        <v>1796725</v>
      </c>
      <c r="AG181" s="10" t="n">
        <v>2767975</v>
      </c>
      <c r="AH181" s="10" t="n">
        <v>786450</v>
      </c>
      <c r="AI181" s="10" t="n">
        <v>655725</v>
      </c>
    </row>
    <row r="182" customFormat="false" ht="15" hidden="false" customHeight="false" outlineLevel="0" collapsed="false">
      <c r="A182" s="3" t="n">
        <v>179</v>
      </c>
      <c r="B182" s="4" t="s">
        <v>216</v>
      </c>
      <c r="C182" s="5" t="n">
        <v>-14.12</v>
      </c>
      <c r="D182" s="6" t="n">
        <f aca="false">IFERROR(V182/W182-1,"")</f>
        <v>-0.0052695414453835</v>
      </c>
      <c r="E182" s="6" t="n">
        <f aca="false">IFERROR(AA182/AB182-1,"")</f>
        <v>0.0213898027292485</v>
      </c>
      <c r="F182" s="3" t="str">
        <f aca="false">IF(OR(D182="",E182=""),"n/a (new)",IF(D182&gt;=0,IF(E182&gt;=0,"Long Buildup","Short Covering"),IF(E182&gt;=0,"Short Buildup","Long Unwinding")))</f>
        <v>Short Buildup</v>
      </c>
      <c r="G182" s="6" t="n">
        <f aca="false">IFERROR(V182/X182-1,"")</f>
        <v>-0.00283971073548517</v>
      </c>
      <c r="H182" s="6" t="n">
        <f aca="false">IFERROR(AA182/AC182-1,"")</f>
        <v>0.0509849929119617</v>
      </c>
      <c r="I182" s="3" t="str">
        <f aca="false">IF(OR(G182="",H182=""),"n/a (new)",IF(G182&gt;=0,IF(H182&gt;=0,"Long Buildup","Short Covering"),IF(H182&gt;=0,"Short Buildup","Long Unwinding")))</f>
        <v>Short Buildup</v>
      </c>
      <c r="J182" s="6" t="n">
        <f aca="false">IFERROR(V182/Y182-1,"")</f>
        <v>-0.00186555322208093</v>
      </c>
      <c r="K182" s="6" t="n">
        <f aca="false">IFERROR(AA182/AD182-1,"")</f>
        <v>0.132040700812173</v>
      </c>
      <c r="L182" s="3" t="str">
        <f aca="false">IF(OR(J182="",K182=""),"n/a (new)",IF(J182&gt;=0,IF(K182&gt;=0,"Long Buildup","Short Covering"),IF(K182&gt;=0,"Short Buildup","Long Unwinding")))</f>
        <v>Short Buildup</v>
      </c>
      <c r="M182" s="6" t="n">
        <f aca="false">IFERROR(V182/Z182-1,"")</f>
        <v>-0.0645701915690975</v>
      </c>
      <c r="N182" s="6" t="n">
        <f aca="false">IFERROR(AA182/AE182-1,"")</f>
        <v>0.246431004246561</v>
      </c>
      <c r="O182" s="3" t="str">
        <f aca="false">IF(OR(M182="",N182=""),"n/a (new)",IF(M182&gt;=0,IF(N182&gt;=0,"Long Buildup","Short Covering"),IF(N182&gt;=0,"Short Buildup","Long Unwinding")))</f>
        <v>Short Buildup</v>
      </c>
      <c r="P182" s="7" t="n">
        <f aca="false">IFERROR(AF182/AG182,"")</f>
        <v>0.821561771561772</v>
      </c>
      <c r="Q182" s="7" t="n">
        <f aca="false">IFERROR(AH182/AI182,"")</f>
        <v>0.882930271345179</v>
      </c>
      <c r="V182" s="9" t="n">
        <v>3616.83</v>
      </c>
      <c r="W182" s="9" t="n">
        <v>3635.99</v>
      </c>
      <c r="X182" s="9" t="n">
        <v>3627.13</v>
      </c>
      <c r="Y182" s="9" t="n">
        <v>3623.59</v>
      </c>
      <c r="Z182" s="9" t="n">
        <v>3866.49</v>
      </c>
      <c r="AA182" s="10" t="n">
        <v>15050000</v>
      </c>
      <c r="AB182" s="10" t="n">
        <v>14734825</v>
      </c>
      <c r="AC182" s="10" t="n">
        <v>14319900</v>
      </c>
      <c r="AD182" s="10" t="n">
        <v>13294575</v>
      </c>
      <c r="AE182" s="10" t="n">
        <v>12074475</v>
      </c>
      <c r="AF182" s="10" t="n">
        <v>6167875</v>
      </c>
      <c r="AG182" s="10" t="n">
        <v>7507500</v>
      </c>
      <c r="AH182" s="10" t="n">
        <v>4817400</v>
      </c>
      <c r="AI182" s="10" t="n">
        <v>5456150</v>
      </c>
    </row>
    <row r="183" customFormat="false" ht="15" hidden="false" customHeight="false" outlineLevel="0" collapsed="false">
      <c r="A183" s="3" t="n">
        <v>180</v>
      </c>
      <c r="B183" s="4" t="s">
        <v>217</v>
      </c>
      <c r="C183" s="5" t="n">
        <v>-14.15</v>
      </c>
      <c r="D183" s="6" t="n">
        <f aca="false">IFERROR(V183/W183-1,"")</f>
        <v>-0.0114259153163476</v>
      </c>
      <c r="E183" s="6" t="n">
        <f aca="false">IFERROR(AA183/AB183-1,"")</f>
        <v>0.0197464806675585</v>
      </c>
      <c r="F183" s="3" t="str">
        <f aca="false">IF(OR(D183="",E183=""),"n/a (new)",IF(D183&gt;=0,IF(E183&gt;=0,"Long Buildup","Short Covering"),IF(E183&gt;=0,"Short Buildup","Long Unwinding")))</f>
        <v>Short Buildup</v>
      </c>
      <c r="G183" s="6" t="n">
        <f aca="false">IFERROR(V183/X183-1,"")</f>
        <v>-0.0341957968106452</v>
      </c>
      <c r="H183" s="6" t="n">
        <f aca="false">IFERROR(AA183/AC183-1,"")</f>
        <v>0.0407788450598925</v>
      </c>
      <c r="I183" s="3" t="str">
        <f aca="false">IF(OR(G183="",H183=""),"n/a (new)",IF(G183&gt;=0,IF(H183&gt;=0,"Long Buildup","Short Covering"),IF(H183&gt;=0,"Short Buildup","Long Unwinding")))</f>
        <v>Short Buildup</v>
      </c>
      <c r="J183" s="6" t="n">
        <f aca="false">IFERROR(V183/Y183-1,"")</f>
        <v>-0.00834404124851584</v>
      </c>
      <c r="K183" s="6" t="n">
        <f aca="false">IFERROR(AA183/AD183-1,"")</f>
        <v>0.116056956620249</v>
      </c>
      <c r="L183" s="3" t="str">
        <f aca="false">IF(OR(J183="",K183=""),"n/a (new)",IF(J183&gt;=0,IF(K183&gt;=0,"Long Buildup","Short Covering"),IF(K183&gt;=0,"Short Buildup","Long Unwinding")))</f>
        <v>Short Buildup</v>
      </c>
      <c r="M183" s="6" t="n">
        <f aca="false">IFERROR(V183/Z183-1,"")</f>
        <v>-0.0541780216257026</v>
      </c>
      <c r="N183" s="6" t="n">
        <f aca="false">IFERROR(AA183/AE183-1,"")</f>
        <v>0.188757704017227</v>
      </c>
      <c r="O183" s="3" t="str">
        <f aca="false">IF(OR(M183="",N183=""),"n/a (new)",IF(M183&gt;=0,IF(N183&gt;=0,"Long Buildup","Short Covering"),IF(N183&gt;=0,"Short Buildup","Long Unwinding")))</f>
        <v>Short Buildup</v>
      </c>
      <c r="P183" s="7" t="n">
        <f aca="false">IFERROR(AF183/AG183,"")</f>
        <v>0.575145265141601</v>
      </c>
      <c r="Q183" s="7" t="n">
        <f aca="false">IFERROR(AH183/AI183,"")</f>
        <v>0.678192242355606</v>
      </c>
      <c r="V183" s="9" t="n">
        <v>1829.04</v>
      </c>
      <c r="W183" s="9" t="n">
        <v>1850.18</v>
      </c>
      <c r="X183" s="9" t="n">
        <v>1893.8</v>
      </c>
      <c r="Y183" s="9" t="n">
        <v>1844.43</v>
      </c>
      <c r="Z183" s="9" t="n">
        <v>1933.81</v>
      </c>
      <c r="AA183" s="10" t="n">
        <v>19210800</v>
      </c>
      <c r="AB183" s="10" t="n">
        <v>18838800</v>
      </c>
      <c r="AC183" s="10" t="n">
        <v>18458100</v>
      </c>
      <c r="AD183" s="10" t="n">
        <v>17213100</v>
      </c>
      <c r="AE183" s="10" t="n">
        <v>16160400</v>
      </c>
      <c r="AF183" s="10" t="n">
        <v>6592200</v>
      </c>
      <c r="AG183" s="10" t="n">
        <v>11461800</v>
      </c>
      <c r="AH183" s="10" t="n">
        <v>5748900</v>
      </c>
      <c r="AI183" s="10" t="n">
        <v>8476800</v>
      </c>
    </row>
    <row r="184" customFormat="false" ht="15" hidden="false" customHeight="false" outlineLevel="0" collapsed="false">
      <c r="A184" s="3" t="n">
        <v>181</v>
      </c>
      <c r="B184" s="4" t="s">
        <v>218</v>
      </c>
      <c r="C184" s="5" t="n">
        <v>-14.17</v>
      </c>
      <c r="D184" s="6" t="n">
        <f aca="false">IFERROR(V184/W184-1,"")</f>
        <v>-0.00978138863648514</v>
      </c>
      <c r="E184" s="6" t="n">
        <f aca="false">IFERROR(AA184/AB184-1,"")</f>
        <v>-0.00156794935670113</v>
      </c>
      <c r="F184" s="3" t="str">
        <f aca="false">IF(OR(D184="",E184=""),"n/a (new)",IF(D184&gt;=0,IF(E184&gt;=0,"Long Buildup","Short Covering"),IF(E184&gt;=0,"Short Buildup","Long Unwinding")))</f>
        <v>Long Unwinding</v>
      </c>
      <c r="G184" s="6" t="n">
        <f aca="false">IFERROR(V184/X184-1,"")</f>
        <v>-0.0540719938728619</v>
      </c>
      <c r="H184" s="6" t="n">
        <f aca="false">IFERROR(AA184/AC184-1,"")</f>
        <v>0.0092279890982343</v>
      </c>
      <c r="I184" s="3" t="str">
        <f aca="false">IF(OR(G184="",H184=""),"n/a (new)",IF(G184&gt;=0,IF(H184&gt;=0,"Long Buildup","Short Covering"),IF(H184&gt;=0,"Short Buildup","Long Unwinding")))</f>
        <v>Short Buildup</v>
      </c>
      <c r="J184" s="6" t="n">
        <f aca="false">IFERROR(V184/Y184-1,"")</f>
        <v>-0.0145744680851064</v>
      </c>
      <c r="K184" s="6" t="n">
        <f aca="false">IFERROR(AA184/AD184-1,"")</f>
        <v>0.0455124368948427</v>
      </c>
      <c r="L184" s="3" t="str">
        <f aca="false">IF(OR(J184="",K184=""),"n/a (new)",IF(J184&gt;=0,IF(K184&gt;=0,"Long Buildup","Short Covering"),IF(K184&gt;=0,"Short Buildup","Long Unwinding")))</f>
        <v>Short Buildup</v>
      </c>
      <c r="M184" s="6" t="n">
        <f aca="false">IFERROR(V184/Z184-1,"")</f>
        <v>-0.104851178971782</v>
      </c>
      <c r="N184" s="6" t="n">
        <f aca="false">IFERROR(AA184/AE184-1,"")</f>
        <v>0.201188230523773</v>
      </c>
      <c r="O184" s="3" t="str">
        <f aca="false">IF(OR(M184="",N184=""),"n/a (new)",IF(M184&gt;=0,IF(N184&gt;=0,"Long Buildup","Short Covering"),IF(N184&gt;=0,"Short Buildup","Long Unwinding")))</f>
        <v>Short Buildup</v>
      </c>
      <c r="P184" s="7" t="n">
        <f aca="false">IFERROR(AF184/AG184,"")</f>
        <v>0.582824760244115</v>
      </c>
      <c r="Q184" s="7" t="n">
        <f aca="false">IFERROR(AH184/AI184,"")</f>
        <v>0.585954558866922</v>
      </c>
      <c r="V184" s="9" t="n">
        <v>185.26</v>
      </c>
      <c r="W184" s="9" t="n">
        <v>187.09</v>
      </c>
      <c r="X184" s="9" t="n">
        <v>195.85</v>
      </c>
      <c r="Y184" s="9" t="n">
        <v>188</v>
      </c>
      <c r="Z184" s="9" t="n">
        <v>206.96</v>
      </c>
      <c r="AA184" s="10" t="n">
        <v>241879250</v>
      </c>
      <c r="AB184" s="10" t="n">
        <v>242259100</v>
      </c>
      <c r="AC184" s="10" t="n">
        <v>239667600</v>
      </c>
      <c r="AD184" s="10" t="n">
        <v>231349950</v>
      </c>
      <c r="AE184" s="10" t="n">
        <v>201366650</v>
      </c>
      <c r="AF184" s="10" t="n">
        <v>37970800</v>
      </c>
      <c r="AG184" s="10" t="n">
        <v>65149600</v>
      </c>
      <c r="AH184" s="10" t="n">
        <v>35247950</v>
      </c>
      <c r="AI184" s="10" t="n">
        <v>60154750</v>
      </c>
    </row>
    <row r="185" customFormat="false" ht="15" hidden="false" customHeight="false" outlineLevel="0" collapsed="false">
      <c r="A185" s="3" t="n">
        <v>182</v>
      </c>
      <c r="B185" s="4" t="s">
        <v>219</v>
      </c>
      <c r="C185" s="5" t="n">
        <v>-14.27</v>
      </c>
      <c r="D185" s="6" t="n">
        <f aca="false">IFERROR(V185/W185-1,"")</f>
        <v>-0.00843382990462682</v>
      </c>
      <c r="E185" s="6" t="n">
        <f aca="false">IFERROR(AA185/AB185-1,"")</f>
        <v>0.0341421006875839</v>
      </c>
      <c r="F185" s="3" t="str">
        <f aca="false">IF(OR(D185="",E185=""),"n/a (new)",IF(D185&gt;=0,IF(E185&gt;=0,"Long Buildup","Short Covering"),IF(E185&gt;=0,"Short Buildup","Long Unwinding")))</f>
        <v>Short Buildup</v>
      </c>
      <c r="G185" s="6" t="n">
        <f aca="false">IFERROR(V185/X185-1,"")</f>
        <v>-0.0494091866516799</v>
      </c>
      <c r="H185" s="6" t="n">
        <f aca="false">IFERROR(AA185/AC185-1,"")</f>
        <v>0.057544653681403</v>
      </c>
      <c r="I185" s="3" t="str">
        <f aca="false">IF(OR(G185="",H185=""),"n/a (new)",IF(G185&gt;=0,IF(H185&gt;=0,"Long Buildup","Short Covering"),IF(H185&gt;=0,"Short Buildup","Long Unwinding")))</f>
        <v>Short Buildup</v>
      </c>
      <c r="J185" s="6" t="n">
        <f aca="false">IFERROR(V185/Y185-1,"")</f>
        <v>-0.0555644185020786</v>
      </c>
      <c r="K185" s="6" t="n">
        <f aca="false">IFERROR(AA185/AD185-1,"")</f>
        <v>0.112953984860083</v>
      </c>
      <c r="L185" s="3" t="str">
        <f aca="false">IF(OR(J185="",K185=""),"n/a (new)",IF(J185&gt;=0,IF(K185&gt;=0,"Long Buildup","Short Covering"),IF(K185&gt;=0,"Short Buildup","Long Unwinding")))</f>
        <v>Short Buildup</v>
      </c>
      <c r="M185" s="6" t="n">
        <f aca="false">IFERROR(V185/Z185-1,"")</f>
        <v>-0.12027972027972</v>
      </c>
      <c r="N185" s="6" t="n">
        <f aca="false">IFERROR(AA185/AE185-1,"")</f>
        <v>-0.244994518492874</v>
      </c>
      <c r="O185" s="3" t="str">
        <f aca="false">IF(OR(M185="",N185=""),"n/a (new)",IF(M185&gt;=0,IF(N185&gt;=0,"Long Buildup","Short Covering"),IF(N185&gt;=0,"Short Buildup","Long Unwinding")))</f>
        <v>Long Unwinding</v>
      </c>
      <c r="P185" s="7" t="n">
        <f aca="false">IFERROR(AF185/AG185,"")</f>
        <v>0.871311169219275</v>
      </c>
      <c r="Q185" s="7" t="n">
        <f aca="false">IFERROR(AH185/AI185,"")</f>
        <v>1.20240295748614</v>
      </c>
      <c r="V185" s="9" t="n">
        <v>1006.4</v>
      </c>
      <c r="W185" s="9" t="n">
        <v>1014.96</v>
      </c>
      <c r="X185" s="9" t="n">
        <v>1058.71</v>
      </c>
      <c r="Y185" s="9" t="n">
        <v>1065.61</v>
      </c>
      <c r="Z185" s="9" t="n">
        <v>1144</v>
      </c>
      <c r="AA185" s="10" t="n">
        <v>8178125</v>
      </c>
      <c r="AB185" s="10" t="n">
        <v>7908125</v>
      </c>
      <c r="AC185" s="10" t="n">
        <v>7733125</v>
      </c>
      <c r="AD185" s="10" t="n">
        <v>7348125</v>
      </c>
      <c r="AE185" s="10" t="n">
        <v>10831875</v>
      </c>
      <c r="AF185" s="10" t="n">
        <v>2915625</v>
      </c>
      <c r="AG185" s="10" t="n">
        <v>3346250</v>
      </c>
      <c r="AH185" s="10" t="n">
        <v>2439375</v>
      </c>
      <c r="AI185" s="10" t="n">
        <v>2028750</v>
      </c>
    </row>
    <row r="186" customFormat="false" ht="15" hidden="false" customHeight="false" outlineLevel="0" collapsed="false">
      <c r="A186" s="3" t="n">
        <v>183</v>
      </c>
      <c r="B186" s="4" t="s">
        <v>220</v>
      </c>
      <c r="C186" s="5" t="n">
        <v>-14.58</v>
      </c>
      <c r="D186" s="6" t="n">
        <f aca="false">IFERROR(V186/W186-1,"")</f>
        <v>0.0110886965575583</v>
      </c>
      <c r="E186" s="6" t="n">
        <f aca="false">IFERROR(AA186/AB186-1,"")</f>
        <v>0.0615827856306834</v>
      </c>
      <c r="F186" s="3" t="str">
        <f aca="false">IF(OR(D186="",E186=""),"n/a (new)",IF(D186&gt;=0,IF(E186&gt;=0,"Long Buildup","Short Covering"),IF(E186&gt;=0,"Short Buildup","Long Unwinding")))</f>
        <v>Long Buildup</v>
      </c>
      <c r="G186" s="6" t="n">
        <f aca="false">IFERROR(V186/X186-1,"")</f>
        <v>-0.0572042297392416</v>
      </c>
      <c r="H186" s="6" t="n">
        <f aca="false">IFERROR(AA186/AC186-1,"")</f>
        <v>0.161217254284026</v>
      </c>
      <c r="I186" s="3" t="str">
        <f aca="false">IF(OR(G186="",H186=""),"n/a (new)",IF(G186&gt;=0,IF(H186&gt;=0,"Long Buildup","Short Covering"),IF(H186&gt;=0,"Short Buildup","Long Unwinding")))</f>
        <v>Short Buildup</v>
      </c>
      <c r="J186" s="6" t="n">
        <f aca="false">IFERROR(V186/Y186-1,"")</f>
        <v>-0.0622042491549975</v>
      </c>
      <c r="K186" s="6" t="n">
        <f aca="false">IFERROR(AA186/AD186-1,"")</f>
        <v>0.190468978747034</v>
      </c>
      <c r="L186" s="3" t="str">
        <f aca="false">IF(OR(J186="",K186=""),"n/a (new)",IF(J186&gt;=0,IF(K186&gt;=0,"Long Buildup","Short Covering"),IF(K186&gt;=0,"Short Buildup","Long Unwinding")))</f>
        <v>Short Buildup</v>
      </c>
      <c r="M186" s="6" t="n">
        <f aca="false">IFERROR(V186/Z186-1,"")</f>
        <v>-0.0816632911192895</v>
      </c>
      <c r="N186" s="6" t="n">
        <f aca="false">IFERROR(AA186/AE186-1,"")</f>
        <v>0.00842420354928364</v>
      </c>
      <c r="O186" s="3" t="str">
        <f aca="false">IF(OR(M186="",N186=""),"n/a (new)",IF(M186&gt;=0,IF(N186&gt;=0,"Long Buildup","Short Covering"),IF(N186&gt;=0,"Short Buildup","Long Unwinding")))</f>
        <v>Short Buildup</v>
      </c>
      <c r="P186" s="7" t="n">
        <f aca="false">IFERROR(AF186/AG186,"")</f>
        <v>0.755156157925751</v>
      </c>
      <c r="Q186" s="7" t="n">
        <f aca="false">IFERROR(AH186/AI186,"")</f>
        <v>1.03203261502621</v>
      </c>
      <c r="V186" s="9" t="n">
        <v>2330.61</v>
      </c>
      <c r="W186" s="9" t="n">
        <v>2305.05</v>
      </c>
      <c r="X186" s="9" t="n">
        <v>2472.02</v>
      </c>
      <c r="Y186" s="9" t="n">
        <v>2485.2</v>
      </c>
      <c r="Z186" s="9" t="n">
        <v>2537.86</v>
      </c>
      <c r="AA186" s="10" t="n">
        <v>4716400</v>
      </c>
      <c r="AB186" s="10" t="n">
        <v>4442800</v>
      </c>
      <c r="AC186" s="10" t="n">
        <v>4061600</v>
      </c>
      <c r="AD186" s="10" t="n">
        <v>3961800</v>
      </c>
      <c r="AE186" s="10" t="n">
        <v>4677000</v>
      </c>
      <c r="AF186" s="10" t="n">
        <v>2050400</v>
      </c>
      <c r="AG186" s="10" t="n">
        <v>2715200</v>
      </c>
      <c r="AH186" s="10" t="n">
        <v>708800</v>
      </c>
      <c r="AI186" s="10" t="n">
        <v>686800</v>
      </c>
    </row>
    <row r="187" customFormat="false" ht="15" hidden="false" customHeight="false" outlineLevel="0" collapsed="false">
      <c r="A187" s="3" t="n">
        <v>184</v>
      </c>
      <c r="B187" s="4" t="s">
        <v>221</v>
      </c>
      <c r="C187" s="5" t="n">
        <v>-14.88</v>
      </c>
      <c r="D187" s="6" t="n">
        <f aca="false">IFERROR(V187/W187-1,"")</f>
        <v>-0.00322359396433469</v>
      </c>
      <c r="E187" s="6" t="n">
        <f aca="false">IFERROR(AA187/AB187-1,"")</f>
        <v>0.00360371004903404</v>
      </c>
      <c r="F187" s="3" t="str">
        <f aca="false">IF(OR(D187="",E187=""),"n/a (new)",IF(D187&gt;=0,IF(E187&gt;=0,"Long Buildup","Short Covering"),IF(E187&gt;=0,"Short Buildup","Long Unwinding")))</f>
        <v>Short Buildup</v>
      </c>
      <c r="G187" s="6" t="n">
        <f aca="false">IFERROR(V187/X187-1,"")</f>
        <v>-0.0133740665308894</v>
      </c>
      <c r="H187" s="6" t="n">
        <f aca="false">IFERROR(AA187/AC187-1,"")</f>
        <v>0.0163326353574633</v>
      </c>
      <c r="I187" s="3" t="str">
        <f aca="false">IF(OR(G187="",H187=""),"n/a (new)",IF(G187&gt;=0,IF(H187&gt;=0,"Long Buildup","Short Covering"),IF(H187&gt;=0,"Short Buildup","Long Unwinding")))</f>
        <v>Short Buildup</v>
      </c>
      <c r="J187" s="6" t="n">
        <f aca="false">IFERROR(V187/Y187-1,"")</f>
        <v>-0.0476408912188729</v>
      </c>
      <c r="K187" s="6" t="n">
        <f aca="false">IFERROR(AA187/AD187-1,"")</f>
        <v>0.074034266927989</v>
      </c>
      <c r="L187" s="3" t="str">
        <f aca="false">IF(OR(J187="",K187=""),"n/a (new)",IF(J187&gt;=0,IF(K187&gt;=0,"Long Buildup","Short Covering"),IF(K187&gt;=0,"Short Buildup","Long Unwinding")))</f>
        <v>Short Buildup</v>
      </c>
      <c r="M187" s="6" t="n">
        <f aca="false">IFERROR(V187/Z187-1,"")</f>
        <v>-0.189495170321458</v>
      </c>
      <c r="N187" s="6" t="n">
        <f aca="false">IFERROR(AA187/AE187-1,"")</f>
        <v>0.069908048872654</v>
      </c>
      <c r="O187" s="3" t="str">
        <f aca="false">IF(OR(M187="",N187=""),"n/a (new)",IF(M187&gt;=0,IF(N187&gt;=0,"Long Buildup","Short Covering"),IF(N187&gt;=0,"Short Buildup","Long Unwinding")))</f>
        <v>Short Buildup</v>
      </c>
      <c r="P187" s="7" t="n">
        <f aca="false">IFERROR(AF187/AG187,"")</f>
        <v>0.668142122263429</v>
      </c>
      <c r="Q187" s="7" t="n">
        <f aca="false">IFERROR(AH187/AI187,"")</f>
        <v>0.785362420830401</v>
      </c>
      <c r="V187" s="9" t="n">
        <v>726.65</v>
      </c>
      <c r="W187" s="9" t="n">
        <v>729</v>
      </c>
      <c r="X187" s="9" t="n">
        <v>736.5</v>
      </c>
      <c r="Y187" s="9" t="n">
        <v>763</v>
      </c>
      <c r="Z187" s="9" t="n">
        <v>896.54</v>
      </c>
      <c r="AA187" s="10" t="n">
        <v>13165700</v>
      </c>
      <c r="AB187" s="10" t="n">
        <v>13118425</v>
      </c>
      <c r="AC187" s="10" t="n">
        <v>12954125</v>
      </c>
      <c r="AD187" s="10" t="n">
        <v>12258175</v>
      </c>
      <c r="AE187" s="10" t="n">
        <v>12305450</v>
      </c>
      <c r="AF187" s="10" t="n">
        <v>4328375</v>
      </c>
      <c r="AG187" s="10" t="n">
        <v>6478225</v>
      </c>
      <c r="AH187" s="10" t="n">
        <v>3459600</v>
      </c>
      <c r="AI187" s="10" t="n">
        <v>4405100</v>
      </c>
    </row>
    <row r="188" customFormat="false" ht="15" hidden="false" customHeight="false" outlineLevel="0" collapsed="false">
      <c r="A188" s="3" t="n">
        <v>185</v>
      </c>
      <c r="B188" s="4" t="s">
        <v>222</v>
      </c>
      <c r="C188" s="5" t="n">
        <v>-15.05</v>
      </c>
      <c r="D188" s="6" t="n">
        <f aca="false">IFERROR(V188/W188-1,"")</f>
        <v>-0.0231833400012635</v>
      </c>
      <c r="E188" s="6" t="n">
        <f aca="false">IFERROR(AA188/AB188-1,"")</f>
        <v>0.0104194407456724</v>
      </c>
      <c r="F188" s="3" t="str">
        <f aca="false">IF(OR(D188="",E188=""),"n/a (new)",IF(D188&gt;=0,IF(E188&gt;=0,"Long Buildup","Short Covering"),IF(E188&gt;=0,"Short Buildup","Long Unwinding")))</f>
        <v>Short Buildup</v>
      </c>
      <c r="G188" s="6" t="n">
        <f aca="false">IFERROR(V188/X188-1,"")</f>
        <v>-0.0386886876515324</v>
      </c>
      <c r="H188" s="6" t="n">
        <f aca="false">IFERROR(AA188/AC188-1,"")</f>
        <v>0.0729612216762698</v>
      </c>
      <c r="I188" s="3" t="str">
        <f aca="false">IF(OR(G188="",H188=""),"n/a (new)",IF(G188&gt;=0,IF(H188&gt;=0,"Long Buildup","Short Covering"),IF(H188&gt;=0,"Short Buildup","Long Unwinding")))</f>
        <v>Short Buildup</v>
      </c>
      <c r="J188" s="6" t="n">
        <f aca="false">IFERROR(V188/Y188-1,"")</f>
        <v>-0.00627637469742737</v>
      </c>
      <c r="K188" s="6" t="n">
        <f aca="false">IFERROR(AA188/AD188-1,"")</f>
        <v>0.117439163568089</v>
      </c>
      <c r="L188" s="3" t="str">
        <f aca="false">IF(OR(J188="",K188=""),"n/a (new)",IF(J188&gt;=0,IF(K188&gt;=0,"Long Buildup","Short Covering"),IF(K188&gt;=0,"Short Buildup","Long Unwinding")))</f>
        <v>Short Buildup</v>
      </c>
      <c r="M188" s="6" t="n">
        <f aca="false">IFERROR(V188/Z188-1,"")</f>
        <v>-0.104440154440155</v>
      </c>
      <c r="N188" s="6" t="n">
        <f aca="false">IFERROR(AA188/AE188-1,"")</f>
        <v>0.112605842894322</v>
      </c>
      <c r="O188" s="3" t="str">
        <f aca="false">IF(OR(M188="",N188=""),"n/a (new)",IF(M188&gt;=0,IF(N188&gt;=0,"Long Buildup","Short Covering"),IF(N188&gt;=0,"Short Buildup","Long Unwinding")))</f>
        <v>Short Buildup</v>
      </c>
      <c r="P188" s="7" t="n">
        <f aca="false">IFERROR(AF188/AG188,"")</f>
        <v>0.805890227576975</v>
      </c>
      <c r="Q188" s="7" t="n">
        <f aca="false">IFERROR(AH188/AI188,"")</f>
        <v>0.70576627932471</v>
      </c>
      <c r="V188" s="9" t="n">
        <v>463.9</v>
      </c>
      <c r="W188" s="9" t="n">
        <v>474.91</v>
      </c>
      <c r="X188" s="9" t="n">
        <v>482.57</v>
      </c>
      <c r="Y188" s="9" t="n">
        <v>466.83</v>
      </c>
      <c r="Z188" s="9" t="n">
        <v>518</v>
      </c>
      <c r="AA188" s="10" t="n">
        <v>32629475</v>
      </c>
      <c r="AB188" s="10" t="n">
        <v>32293000</v>
      </c>
      <c r="AC188" s="10" t="n">
        <v>30410675</v>
      </c>
      <c r="AD188" s="10" t="n">
        <v>29200225</v>
      </c>
      <c r="AE188" s="10" t="n">
        <v>29327075</v>
      </c>
      <c r="AF188" s="10" t="n">
        <v>5177200</v>
      </c>
      <c r="AG188" s="10" t="n">
        <v>6424200</v>
      </c>
      <c r="AH188" s="10" t="n">
        <v>3460425</v>
      </c>
      <c r="AI188" s="10" t="n">
        <v>4903075</v>
      </c>
    </row>
    <row r="189" customFormat="false" ht="15" hidden="false" customHeight="false" outlineLevel="0" collapsed="false">
      <c r="A189" s="3" t="n">
        <v>186</v>
      </c>
      <c r="B189" s="4" t="s">
        <v>223</v>
      </c>
      <c r="C189" s="5" t="n">
        <v>-15.12</v>
      </c>
      <c r="D189" s="6" t="n">
        <f aca="false">IFERROR(V189/W189-1,"")</f>
        <v>-0.0236578707916288</v>
      </c>
      <c r="E189" s="6" t="n">
        <f aca="false">IFERROR(AA189/AB189-1,"")</f>
        <v>0.00514948889401268</v>
      </c>
      <c r="F189" s="3" t="str">
        <f aca="false">IF(OR(D189="",E189=""),"n/a (new)",IF(D189&gt;=0,IF(E189&gt;=0,"Long Buildup","Short Covering"),IF(E189&gt;=0,"Short Buildup","Long Unwinding")))</f>
        <v>Short Buildup</v>
      </c>
      <c r="G189" s="6" t="n">
        <f aca="false">IFERROR(V189/X189-1,"")</f>
        <v>-0.0669565217391305</v>
      </c>
      <c r="H189" s="6" t="n">
        <f aca="false">IFERROR(AA189/AC189-1,"")</f>
        <v>0.0287107685046804</v>
      </c>
      <c r="I189" s="3" t="str">
        <f aca="false">IF(OR(G189="",H189=""),"n/a (new)",IF(G189&gt;=0,IF(H189&gt;=0,"Long Buildup","Short Covering"),IF(H189&gt;=0,"Short Buildup","Long Unwinding")))</f>
        <v>Short Buildup</v>
      </c>
      <c r="J189" s="6" t="n">
        <f aca="false">IFERROR(V189/Y189-1,"")</f>
        <v>-0.0312970207643697</v>
      </c>
      <c r="K189" s="6" t="n">
        <f aca="false">IFERROR(AA189/AD189-1,"")</f>
        <v>0.164144561153641</v>
      </c>
      <c r="L189" s="3" t="str">
        <f aca="false">IF(OR(J189="",K189=""),"n/a (new)",IF(J189&gt;=0,IF(K189&gt;=0,"Long Buildup","Short Covering"),IF(K189&gt;=0,"Short Buildup","Long Unwinding")))</f>
        <v>Short Buildup</v>
      </c>
      <c r="M189" s="6" t="n">
        <f aca="false">IFERROR(V189/Z189-1,"")</f>
        <v>-0.0349272972567832</v>
      </c>
      <c r="N189" s="6" t="n">
        <f aca="false">IFERROR(AA189/AE189-1,"")</f>
        <v>0.145284175496979</v>
      </c>
      <c r="O189" s="3" t="str">
        <f aca="false">IF(OR(M189="",N189=""),"n/a (new)",IF(M189&gt;=0,IF(N189&gt;=0,"Long Buildup","Short Covering"),IF(N189&gt;=0,"Short Buildup","Long Unwinding")))</f>
        <v>Short Buildup</v>
      </c>
      <c r="P189" s="7" t="n">
        <f aca="false">IFERROR(AF189/AG189,"")</f>
        <v>0.462119848839302</v>
      </c>
      <c r="Q189" s="7" t="n">
        <f aca="false">IFERROR(AH189/AI189,"")</f>
        <v>0.673166926677067</v>
      </c>
      <c r="V189" s="9" t="n">
        <v>321.9</v>
      </c>
      <c r="W189" s="9" t="n">
        <v>329.7</v>
      </c>
      <c r="X189" s="9" t="n">
        <v>345</v>
      </c>
      <c r="Y189" s="9" t="n">
        <v>332.3</v>
      </c>
      <c r="Z189" s="9" t="n">
        <v>333.55</v>
      </c>
      <c r="AA189" s="10" t="n">
        <v>40868750</v>
      </c>
      <c r="AB189" s="10" t="n">
        <v>40659375</v>
      </c>
      <c r="AC189" s="10" t="n">
        <v>39728125</v>
      </c>
      <c r="AD189" s="10" t="n">
        <v>35106250</v>
      </c>
      <c r="AE189" s="10" t="n">
        <v>35684375</v>
      </c>
      <c r="AF189" s="10" t="n">
        <v>8025000</v>
      </c>
      <c r="AG189" s="10" t="n">
        <v>17365625</v>
      </c>
      <c r="AH189" s="10" t="n">
        <v>8090625</v>
      </c>
      <c r="AI189" s="10" t="n">
        <v>12018750</v>
      </c>
    </row>
    <row r="190" customFormat="false" ht="15" hidden="false" customHeight="false" outlineLevel="0" collapsed="false">
      <c r="A190" s="3" t="n">
        <v>187</v>
      </c>
      <c r="B190" s="4" t="s">
        <v>224</v>
      </c>
      <c r="C190" s="5" t="n">
        <v>-15.27</v>
      </c>
      <c r="D190" s="6" t="n">
        <f aca="false">IFERROR(V190/W190-1,"")</f>
        <v>-0.0267029972752044</v>
      </c>
      <c r="E190" s="6" t="n">
        <f aca="false">IFERROR(AA190/AB190-1,"")</f>
        <v>0.0354231974921631</v>
      </c>
      <c r="F190" s="3" t="str">
        <f aca="false">IF(OR(D190="",E190=""),"n/a (new)",IF(D190&gt;=0,IF(E190&gt;=0,"Long Buildup","Short Covering"),IF(E190&gt;=0,"Short Buildup","Long Unwinding")))</f>
        <v>Short Buildup</v>
      </c>
      <c r="G190" s="6" t="n">
        <f aca="false">IFERROR(V190/X190-1,"")</f>
        <v>-0.0584886264793484</v>
      </c>
      <c r="H190" s="6" t="n">
        <f aca="false">IFERROR(AA190/AC190-1,"")</f>
        <v>0.0365604895653537</v>
      </c>
      <c r="I190" s="3" t="str">
        <f aca="false">IF(OR(G190="",H190=""),"n/a (new)",IF(G190&gt;=0,IF(H190&gt;=0,"Long Buildup","Short Covering"),IF(H190&gt;=0,"Short Buildup","Long Unwinding")))</f>
        <v>Short Buildup</v>
      </c>
      <c r="J190" s="6" t="n">
        <f aca="false">IFERROR(V190/Y190-1,"")</f>
        <v>-0.0310855530841426</v>
      </c>
      <c r="K190" s="6" t="n">
        <f aca="false">IFERROR(AA190/AD190-1,"")</f>
        <v>0.104312938816449</v>
      </c>
      <c r="L190" s="3" t="str">
        <f aca="false">IF(OR(J190="",K190=""),"n/a (new)",IF(J190&gt;=0,IF(K190&gt;=0,"Long Buildup","Short Covering"),IF(K190&gt;=0,"Short Buildup","Long Unwinding")))</f>
        <v>Short Buildup</v>
      </c>
      <c r="M190" s="6" t="n">
        <f aca="false">IFERROR(V190/Z190-1,"")</f>
        <v>-0.100251889168766</v>
      </c>
      <c r="N190" s="6" t="n">
        <f aca="false">IFERROR(AA190/AE190-1,"")</f>
        <v>0.0849963045084996</v>
      </c>
      <c r="O190" s="3" t="str">
        <f aca="false">IF(OR(M190="",N190=""),"n/a (new)",IF(M190&gt;=0,IF(N190&gt;=0,"Long Buildup","Short Covering"),IF(N190&gt;=0,"Short Buildup","Long Unwinding")))</f>
        <v>Short Buildup</v>
      </c>
      <c r="P190" s="7" t="n">
        <f aca="false">IFERROR(AF190/AG190,"")</f>
        <v>0.742387332521316</v>
      </c>
      <c r="Q190" s="7" t="n">
        <f aca="false">IFERROR(AH190/AI190,"")</f>
        <v>0.865095285857573</v>
      </c>
      <c r="V190" s="9" t="n">
        <v>357.2</v>
      </c>
      <c r="W190" s="9" t="n">
        <v>367</v>
      </c>
      <c r="X190" s="9" t="n">
        <v>379.39</v>
      </c>
      <c r="Y190" s="9" t="n">
        <v>368.66</v>
      </c>
      <c r="Z190" s="9" t="n">
        <v>397</v>
      </c>
      <c r="AA190" s="10" t="n">
        <v>40957200</v>
      </c>
      <c r="AB190" s="10" t="n">
        <v>39556000</v>
      </c>
      <c r="AC190" s="10" t="n">
        <v>39512600</v>
      </c>
      <c r="AD190" s="10" t="n">
        <v>37088400</v>
      </c>
      <c r="AE190" s="10" t="n">
        <v>37748700</v>
      </c>
      <c r="AF190" s="10" t="n">
        <v>11336700</v>
      </c>
      <c r="AG190" s="10" t="n">
        <v>15270600</v>
      </c>
      <c r="AH190" s="10" t="n">
        <v>10695000</v>
      </c>
      <c r="AI190" s="10" t="n">
        <v>12362800</v>
      </c>
    </row>
    <row r="191" customFormat="false" ht="15" hidden="false" customHeight="false" outlineLevel="0" collapsed="false">
      <c r="A191" s="3" t="n">
        <v>188</v>
      </c>
      <c r="B191" s="4" t="s">
        <v>225</v>
      </c>
      <c r="C191" s="5" t="n">
        <v>-15.36</v>
      </c>
      <c r="D191" s="6" t="n">
        <f aca="false">IFERROR(V191/W191-1,"")</f>
        <v>-0.0299802381067141</v>
      </c>
      <c r="E191" s="6" t="n">
        <f aca="false">IFERROR(AA191/AB191-1,"")</f>
        <v>0.0234231103388358</v>
      </c>
      <c r="F191" s="3" t="str">
        <f aca="false">IF(OR(D191="",E191=""),"n/a (new)",IF(D191&gt;=0,IF(E191&gt;=0,"Long Buildup","Short Covering"),IF(E191&gt;=0,"Short Buildup","Long Unwinding")))</f>
        <v>Short Buildup</v>
      </c>
      <c r="G191" s="6" t="n">
        <f aca="false">IFERROR(V191/X191-1,"")</f>
        <v>-0.0705532805812987</v>
      </c>
      <c r="H191" s="6" t="n">
        <f aca="false">IFERROR(AA191/AC191-1,"")</f>
        <v>0.104986679674309</v>
      </c>
      <c r="I191" s="3" t="str">
        <f aca="false">IF(OR(G191="",H191=""),"n/a (new)",IF(G191&gt;=0,IF(H191&gt;=0,"Long Buildup","Short Covering"),IF(H191&gt;=0,"Short Buildup","Long Unwinding")))</f>
        <v>Short Buildup</v>
      </c>
      <c r="J191" s="6" t="n">
        <f aca="false">IFERROR(V191/Y191-1,"")</f>
        <v>-0.0565005743039982</v>
      </c>
      <c r="K191" s="6" t="n">
        <f aca="false">IFERROR(AA191/AD191-1,"")</f>
        <v>0.162292299798713</v>
      </c>
      <c r="L191" s="3" t="str">
        <f aca="false">IF(OR(J191="",K191=""),"n/a (new)",IF(J191&gt;=0,IF(K191&gt;=0,"Long Buildup","Short Covering"),IF(K191&gt;=0,"Short Buildup","Long Unwinding")))</f>
        <v>Short Buildup</v>
      </c>
      <c r="M191" s="6" t="n">
        <f aca="false">IFERROR(V191/Z191-1,"")</f>
        <v>-0.147080117960762</v>
      </c>
      <c r="N191" s="6" t="n">
        <f aca="false">IFERROR(AA191/AE191-1,"")</f>
        <v>-0.00587381426594202</v>
      </c>
      <c r="O191" s="3" t="str">
        <f aca="false">IF(OR(M191="",N191=""),"n/a (new)",IF(M191&gt;=0,IF(N191&gt;=0,"Long Buildup","Short Covering"),IF(N191&gt;=0,"Short Buildup","Long Unwinding")))</f>
        <v>Long Unwinding</v>
      </c>
      <c r="P191" s="7" t="n">
        <f aca="false">IFERROR(AF191/AG191,"")</f>
        <v>0.611204938559199</v>
      </c>
      <c r="Q191" s="7" t="n">
        <f aca="false">IFERROR(AH191/AI191,"")</f>
        <v>0.663676309044306</v>
      </c>
      <c r="V191" s="9" t="n">
        <v>2415</v>
      </c>
      <c r="W191" s="9" t="n">
        <v>2489.64</v>
      </c>
      <c r="X191" s="9" t="n">
        <v>2598.32</v>
      </c>
      <c r="Y191" s="9" t="n">
        <v>2559.62</v>
      </c>
      <c r="Z191" s="9" t="n">
        <v>2831.45</v>
      </c>
      <c r="AA191" s="10" t="n">
        <v>8098475</v>
      </c>
      <c r="AB191" s="10" t="n">
        <v>7913125</v>
      </c>
      <c r="AC191" s="10" t="n">
        <v>7329025</v>
      </c>
      <c r="AD191" s="10" t="n">
        <v>6967675</v>
      </c>
      <c r="AE191" s="10" t="n">
        <v>8146325</v>
      </c>
      <c r="AF191" s="10" t="n">
        <v>2886125</v>
      </c>
      <c r="AG191" s="10" t="n">
        <v>4722025</v>
      </c>
      <c r="AH191" s="10" t="n">
        <v>1993750</v>
      </c>
      <c r="AI191" s="10" t="n">
        <v>3004100</v>
      </c>
    </row>
    <row r="192" customFormat="false" ht="15" hidden="false" customHeight="false" outlineLevel="0" collapsed="false">
      <c r="A192" s="3" t="n">
        <v>189</v>
      </c>
      <c r="B192" s="4" t="s">
        <v>226</v>
      </c>
      <c r="C192" s="5" t="n">
        <v>-15.55</v>
      </c>
      <c r="D192" s="6" t="n">
        <f aca="false">IFERROR(V192/W192-1,"")</f>
        <v>-0.0208537337250209</v>
      </c>
      <c r="E192" s="6" t="n">
        <f aca="false">IFERROR(AA192/AB192-1,"")</f>
        <v>0.0337511746810442</v>
      </c>
      <c r="F192" s="3" t="str">
        <f aca="false">IF(OR(D192="",E192=""),"n/a (new)",IF(D192&gt;=0,IF(E192&gt;=0,"Long Buildup","Short Covering"),IF(E192&gt;=0,"Short Buildup","Long Unwinding")))</f>
        <v>Short Buildup</v>
      </c>
      <c r="G192" s="6" t="n">
        <f aca="false">IFERROR(V192/X192-1,"")</f>
        <v>-0.058811225379118</v>
      </c>
      <c r="H192" s="6" t="n">
        <f aca="false">IFERROR(AA192/AC192-1,"")</f>
        <v>0.102519238282909</v>
      </c>
      <c r="I192" s="3" t="str">
        <f aca="false">IF(OR(G192="",H192=""),"n/a (new)",IF(G192&gt;=0,IF(H192&gt;=0,"Long Buildup","Short Covering"),IF(H192&gt;=0,"Short Buildup","Long Unwinding")))</f>
        <v>Short Buildup</v>
      </c>
      <c r="J192" s="6" t="n">
        <f aca="false">IFERROR(V192/Y192-1,"")</f>
        <v>-0.0111347154054646</v>
      </c>
      <c r="K192" s="6" t="n">
        <f aca="false">IFERROR(AA192/AD192-1,"")</f>
        <v>0.103193894375414</v>
      </c>
      <c r="L192" s="3" t="str">
        <f aca="false">IF(OR(J192="",K192=""),"n/a (new)",IF(J192&gt;=0,IF(K192&gt;=0,"Long Buildup","Short Covering"),IF(K192&gt;=0,"Short Buildup","Long Unwinding")))</f>
        <v>Short Buildup</v>
      </c>
      <c r="M192" s="6" t="n">
        <f aca="false">IFERROR(V192/Z192-1,"")</f>
        <v>-0.0999766643331</v>
      </c>
      <c r="N192" s="6" t="n">
        <f aca="false">IFERROR(AA192/AE192-1,"")</f>
        <v>0.0621041779174236</v>
      </c>
      <c r="O192" s="3" t="str">
        <f aca="false">IF(OR(M192="",N192=""),"n/a (new)",IF(M192&gt;=0,IF(N192&gt;=0,"Long Buildup","Short Covering"),IF(N192&gt;=0,"Short Buildup","Long Unwinding")))</f>
        <v>Short Buildup</v>
      </c>
      <c r="P192" s="7" t="n">
        <f aca="false">IFERROR(AF192/AG192,"")</f>
        <v>0.645297062602455</v>
      </c>
      <c r="Q192" s="7" t="n">
        <f aca="false">IFERROR(AH192/AI192,"")</f>
        <v>0.602265073465213</v>
      </c>
      <c r="V192" s="9" t="n">
        <v>269.98</v>
      </c>
      <c r="W192" s="9" t="n">
        <v>275.73</v>
      </c>
      <c r="X192" s="9" t="n">
        <v>286.85</v>
      </c>
      <c r="Y192" s="9" t="n">
        <v>273.02</v>
      </c>
      <c r="Z192" s="9" t="n">
        <v>299.97</v>
      </c>
      <c r="AA192" s="10" t="n">
        <v>103843200</v>
      </c>
      <c r="AB192" s="10" t="n">
        <v>100452800</v>
      </c>
      <c r="AC192" s="10" t="n">
        <v>94187200</v>
      </c>
      <c r="AD192" s="10" t="n">
        <v>94129600</v>
      </c>
      <c r="AE192" s="10" t="n">
        <v>97771200</v>
      </c>
      <c r="AF192" s="10" t="n">
        <v>46608000</v>
      </c>
      <c r="AG192" s="10" t="n">
        <v>72227200</v>
      </c>
      <c r="AH192" s="10" t="n">
        <v>38628800</v>
      </c>
      <c r="AI192" s="10" t="n">
        <v>64139200</v>
      </c>
    </row>
    <row r="193" customFormat="false" ht="15" hidden="false" customHeight="false" outlineLevel="0" collapsed="false">
      <c r="A193" s="3" t="n">
        <v>190</v>
      </c>
      <c r="B193" s="4" t="s">
        <v>227</v>
      </c>
      <c r="C193" s="5" t="n">
        <v>-15.82</v>
      </c>
      <c r="D193" s="6" t="n">
        <f aca="false">IFERROR(V193/W193-1,"")</f>
        <v>0.0055179332831703</v>
      </c>
      <c r="E193" s="6" t="n">
        <f aca="false">IFERROR(AA193/AB193-1,"")</f>
        <v>-0.0900968380503986</v>
      </c>
      <c r="F193" s="3" t="str">
        <f aca="false">IF(OR(D193="",E193=""),"n/a (new)",IF(D193&gt;=0,IF(E193&gt;=0,"Long Buildup","Short Covering"),IF(E193&gt;=0,"Short Buildup","Long Unwinding")))</f>
        <v>Short Covering</v>
      </c>
      <c r="G193" s="6" t="n">
        <f aca="false">IFERROR(V193/X193-1,"")</f>
        <v>-0.0460818527918782</v>
      </c>
      <c r="H193" s="6" t="n">
        <f aca="false">IFERROR(AA193/AC193-1,"")</f>
        <v>-0.0514779698828779</v>
      </c>
      <c r="I193" s="3" t="str">
        <f aca="false">IF(OR(G193="",H193=""),"n/a (new)",IF(G193&gt;=0,IF(H193&gt;=0,"Long Buildup","Short Covering"),IF(H193&gt;=0,"Short Buildup","Long Unwinding")))</f>
        <v>Long Unwinding</v>
      </c>
      <c r="J193" s="6" t="n">
        <f aca="false">IFERROR(V193/Y193-1,"")</f>
        <v>-0.0995732574679943</v>
      </c>
      <c r="K193" s="6" t="n">
        <f aca="false">IFERROR(AA193/AD193-1,"")</f>
        <v>0.273837165755374</v>
      </c>
      <c r="L193" s="3" t="str">
        <f aca="false">IF(OR(J193="",K193=""),"n/a (new)",IF(J193&gt;=0,IF(K193&gt;=0,"Long Buildup","Short Covering"),IF(K193&gt;=0,"Short Buildup","Long Unwinding")))</f>
        <v>Short Buildup</v>
      </c>
      <c r="M193" s="6" t="n">
        <f aca="false">IFERROR(V193/Z193-1,"")</f>
        <v>-0.147404239230606</v>
      </c>
      <c r="N193" s="6" t="n">
        <f aca="false">IFERROR(AA193/AE193-1,"")</f>
        <v>0.231409745854754</v>
      </c>
      <c r="O193" s="3" t="str">
        <f aca="false">IF(OR(M193="",N193=""),"n/a (new)",IF(M193&gt;=0,IF(N193&gt;=0,"Long Buildup","Short Covering"),IF(N193&gt;=0,"Short Buildup","Long Unwinding")))</f>
        <v>Short Buildup</v>
      </c>
      <c r="P193" s="7" t="n">
        <f aca="false">IFERROR(AF193/AG193,"")</f>
        <v>0.457947663124214</v>
      </c>
      <c r="Q193" s="7" t="n">
        <f aca="false">IFERROR(AH193/AI193,"")</f>
        <v>0.676543934281942</v>
      </c>
      <c r="V193" s="9" t="n">
        <v>360.81</v>
      </c>
      <c r="W193" s="9" t="n">
        <v>358.83</v>
      </c>
      <c r="X193" s="9" t="n">
        <v>378.24</v>
      </c>
      <c r="Y193" s="9" t="n">
        <v>400.71</v>
      </c>
      <c r="Z193" s="9" t="n">
        <v>423.19</v>
      </c>
      <c r="AA193" s="10" t="n">
        <v>53997225</v>
      </c>
      <c r="AB193" s="10" t="n">
        <v>59343925</v>
      </c>
      <c r="AC193" s="10" t="n">
        <v>56927750</v>
      </c>
      <c r="AD193" s="10" t="n">
        <v>42389425</v>
      </c>
      <c r="AE193" s="10" t="n">
        <v>43849925</v>
      </c>
      <c r="AF193" s="10" t="n">
        <v>25447625</v>
      </c>
      <c r="AG193" s="10" t="n">
        <v>55568850</v>
      </c>
      <c r="AH193" s="10" t="n">
        <v>14643100</v>
      </c>
      <c r="AI193" s="10" t="n">
        <v>21643975</v>
      </c>
    </row>
    <row r="194" customFormat="false" ht="15" hidden="false" customHeight="false" outlineLevel="0" collapsed="false">
      <c r="A194" s="3" t="n">
        <v>191</v>
      </c>
      <c r="B194" s="4" t="s">
        <v>228</v>
      </c>
      <c r="C194" s="5" t="n">
        <v>-15.83</v>
      </c>
      <c r="D194" s="6" t="n">
        <f aca="false">IFERROR(V194/W194-1,"")</f>
        <v>-0.00798466943468545</v>
      </c>
      <c r="E194" s="6" t="n">
        <f aca="false">IFERROR(AA194/AB194-1,"")</f>
        <v>-0.0277679608219317</v>
      </c>
      <c r="F194" s="3" t="str">
        <f aca="false">IF(OR(D194="",E194=""),"n/a (new)",IF(D194&gt;=0,IF(E194&gt;=0,"Long Buildup","Short Covering"),IF(E194&gt;=0,"Short Buildup","Long Unwinding")))</f>
        <v>Long Unwinding</v>
      </c>
      <c r="G194" s="6" t="n">
        <f aca="false">IFERROR(V194/X194-1,"")</f>
        <v>-0.0814727192074523</v>
      </c>
      <c r="H194" s="6" t="n">
        <f aca="false">IFERROR(AA194/AC194-1,"")</f>
        <v>0.000363636363636344</v>
      </c>
      <c r="I194" s="3" t="str">
        <f aca="false">IF(OR(G194="",H194=""),"n/a (new)",IF(G194&gt;=0,IF(H194&gt;=0,"Long Buildup","Short Covering"),IF(H194&gt;=0,"Short Buildup","Long Unwinding")))</f>
        <v>Short Buildup</v>
      </c>
      <c r="J194" s="6" t="n">
        <f aca="false">IFERROR(V194/Y194-1,"")</f>
        <v>-0.00512491992312625</v>
      </c>
      <c r="K194" s="6" t="n">
        <f aca="false">IFERROR(AA194/AD194-1,"")</f>
        <v>0.049942751213129</v>
      </c>
      <c r="L194" s="3" t="str">
        <f aca="false">IF(OR(J194="",K194=""),"n/a (new)",IF(J194&gt;=0,IF(K194&gt;=0,"Long Buildup","Short Covering"),IF(K194&gt;=0,"Short Buildup","Long Unwinding")))</f>
        <v>Short Buildup</v>
      </c>
      <c r="M194" s="6" t="n">
        <f aca="false">IFERROR(V194/Z194-1,"")</f>
        <v>-0.202567394094994</v>
      </c>
      <c r="N194" s="6" t="n">
        <f aca="false">IFERROR(AA194/AE194-1,"")</f>
        <v>0.116801020704054</v>
      </c>
      <c r="O194" s="3" t="str">
        <f aca="false">IF(OR(M194="",N194=""),"n/a (new)",IF(M194&gt;=0,IF(N194&gt;=0,"Long Buildup","Short Covering"),IF(N194&gt;=0,"Short Buildup","Long Unwinding")))</f>
        <v>Short Buildup</v>
      </c>
      <c r="P194" s="7" t="n">
        <f aca="false">IFERROR(AF194/AG194,"")</f>
        <v>0.552411067193676</v>
      </c>
      <c r="Q194" s="7" t="n">
        <f aca="false">IFERROR(AH194/AI194,"")</f>
        <v>0.496296296296296</v>
      </c>
      <c r="V194" s="9" t="n">
        <v>62.12</v>
      </c>
      <c r="W194" s="9" t="n">
        <v>62.62</v>
      </c>
      <c r="X194" s="9" t="n">
        <v>67.63</v>
      </c>
      <c r="Y194" s="9" t="n">
        <v>62.44</v>
      </c>
      <c r="Z194" s="9" t="n">
        <v>77.9</v>
      </c>
      <c r="AA194" s="10" t="n">
        <v>123244800</v>
      </c>
      <c r="AB194" s="10" t="n">
        <v>126764800</v>
      </c>
      <c r="AC194" s="10" t="n">
        <v>123200000</v>
      </c>
      <c r="AD194" s="10" t="n">
        <v>117382400</v>
      </c>
      <c r="AE194" s="10" t="n">
        <v>110355200</v>
      </c>
      <c r="AF194" s="10" t="n">
        <v>22361600</v>
      </c>
      <c r="AG194" s="10" t="n">
        <v>40480000</v>
      </c>
      <c r="AH194" s="10" t="n">
        <v>19724800</v>
      </c>
      <c r="AI194" s="10" t="n">
        <v>39744000</v>
      </c>
    </row>
    <row r="195" customFormat="false" ht="15" hidden="false" customHeight="false" outlineLevel="0" collapsed="false">
      <c r="A195" s="3" t="n">
        <v>192</v>
      </c>
      <c r="B195" s="4" t="s">
        <v>229</v>
      </c>
      <c r="C195" s="5" t="n">
        <v>-16.36</v>
      </c>
      <c r="D195" s="6" t="n">
        <f aca="false">IFERROR(V195/W195-1,"")</f>
        <v>-0.0277085495297471</v>
      </c>
      <c r="E195" s="6" t="n">
        <f aca="false">IFERROR(AA195/AB195-1,"")</f>
        <v>-0.00455511691466748</v>
      </c>
      <c r="F195" s="3" t="str">
        <f aca="false">IF(OR(D195="",E195=""),"n/a (new)",IF(D195&gt;=0,IF(E195&gt;=0,"Long Buildup","Short Covering"),IF(E195&gt;=0,"Short Buildup","Long Unwinding")))</f>
        <v>Long Unwinding</v>
      </c>
      <c r="G195" s="6" t="n">
        <f aca="false">IFERROR(V195/X195-1,"")</f>
        <v>-0.0597392335045436</v>
      </c>
      <c r="H195" s="6" t="n">
        <f aca="false">IFERROR(AA195/AC195-1,"")</f>
        <v>-0.0337153174398467</v>
      </c>
      <c r="I195" s="3" t="str">
        <f aca="false">IF(OR(G195="",H195=""),"n/a (new)",IF(G195&gt;=0,IF(H195&gt;=0,"Long Buildup","Short Covering"),IF(H195&gt;=0,"Short Buildup","Long Unwinding")))</f>
        <v>Long Unwinding</v>
      </c>
      <c r="J195" s="6" t="n">
        <f aca="false">IFERROR(V195/Y195-1,"")</f>
        <v>-0.0978771796815768</v>
      </c>
      <c r="K195" s="6" t="n">
        <f aca="false">IFERROR(AA195/AD195-1,"")</f>
        <v>0.137799375216939</v>
      </c>
      <c r="L195" s="3" t="str">
        <f aca="false">IF(OR(J195="",K195=""),"n/a (new)",IF(J195&gt;=0,IF(K195&gt;=0,"Long Buildup","Short Covering"),IF(K195&gt;=0,"Short Buildup","Long Unwinding")))</f>
        <v>Short Buildup</v>
      </c>
      <c r="M195" s="6" t="n">
        <f aca="false">IFERROR(V195/Z195-1,"")</f>
        <v>-0.127588128335973</v>
      </c>
      <c r="N195" s="6" t="n">
        <f aca="false">IFERROR(AA195/AE195-1,"")</f>
        <v>0.317193229192827</v>
      </c>
      <c r="O195" s="3" t="str">
        <f aca="false">IF(OR(M195="",N195=""),"n/a (new)",IF(M195&gt;=0,IF(N195&gt;=0,"Long Buildup","Short Covering"),IF(N195&gt;=0,"Short Buildup","Long Unwinding")))</f>
        <v>Short Buildup</v>
      </c>
      <c r="P195" s="7" t="n">
        <f aca="false">IFERROR(AF195/AG195,"")</f>
        <v>0.391168486837952</v>
      </c>
      <c r="Q195" s="7" t="n">
        <f aca="false">IFERROR(AH195/AI195,"")</f>
        <v>0.691947878382893</v>
      </c>
      <c r="V195" s="9" t="n">
        <v>1189.9</v>
      </c>
      <c r="W195" s="9" t="n">
        <v>1223.81</v>
      </c>
      <c r="X195" s="9" t="n">
        <v>1265.5</v>
      </c>
      <c r="Y195" s="9" t="n">
        <v>1319</v>
      </c>
      <c r="Z195" s="9" t="n">
        <v>1363.92</v>
      </c>
      <c r="AA195" s="10" t="n">
        <v>13112000</v>
      </c>
      <c r="AB195" s="10" t="n">
        <v>13172000</v>
      </c>
      <c r="AC195" s="10" t="n">
        <v>13569500</v>
      </c>
      <c r="AD195" s="10" t="n">
        <v>11524000</v>
      </c>
      <c r="AE195" s="10" t="n">
        <v>9954500</v>
      </c>
      <c r="AF195" s="10" t="n">
        <v>6196500</v>
      </c>
      <c r="AG195" s="10" t="n">
        <v>15841000</v>
      </c>
      <c r="AH195" s="10" t="n">
        <v>2071000</v>
      </c>
      <c r="AI195" s="10" t="n">
        <v>2993000</v>
      </c>
    </row>
    <row r="196" customFormat="false" ht="15" hidden="false" customHeight="false" outlineLevel="0" collapsed="false">
      <c r="A196" s="3" t="n">
        <v>193</v>
      </c>
      <c r="B196" s="4" t="s">
        <v>230</v>
      </c>
      <c r="C196" s="5" t="n">
        <v>-17.18</v>
      </c>
      <c r="D196" s="6" t="n">
        <f aca="false">IFERROR(V196/W196-1,"")</f>
        <v>-0.0248937680697169</v>
      </c>
      <c r="E196" s="6" t="n">
        <f aca="false">IFERROR(AA196/AB196-1,"")</f>
        <v>-0.080098845383665</v>
      </c>
      <c r="F196" s="3" t="str">
        <f aca="false">IF(OR(D196="",E196=""),"n/a (new)",IF(D196&gt;=0,IF(E196&gt;=0,"Long Buildup","Short Covering"),IF(E196&gt;=0,"Short Buildup","Long Unwinding")))</f>
        <v>Long Unwinding</v>
      </c>
      <c r="G196" s="6" t="n">
        <f aca="false">IFERROR(V196/X196-1,"")</f>
        <v>-0.046064418721691</v>
      </c>
      <c r="H196" s="6" t="n">
        <f aca="false">IFERROR(AA196/AC196-1,"")</f>
        <v>0.0266761768901569</v>
      </c>
      <c r="I196" s="3" t="str">
        <f aca="false">IF(OR(G196="",H196=""),"n/a (new)",IF(G196&gt;=0,IF(H196&gt;=0,"Long Buildup","Short Covering"),IF(H196&gt;=0,"Short Buildup","Long Unwinding")))</f>
        <v>Short Buildup</v>
      </c>
      <c r="J196" s="6" t="n">
        <f aca="false">IFERROR(V196/Y196-1,"")</f>
        <v>-0.0101622513616686</v>
      </c>
      <c r="K196" s="6" t="n">
        <f aca="false">IFERROR(AA196/AD196-1,"")</f>
        <v>0.293493889288282</v>
      </c>
      <c r="L196" s="3" t="str">
        <f aca="false">IF(OR(J196="",K196=""),"n/a (new)",IF(J196&gt;=0,IF(K196&gt;=0,"Long Buildup","Short Covering"),IF(K196&gt;=0,"Short Buildup","Long Unwinding")))</f>
        <v>Short Buildup</v>
      </c>
      <c r="M196" s="6" t="n">
        <f aca="false">IFERROR(V196/Z196-1,"")</f>
        <v>-0.0978248453117563</v>
      </c>
      <c r="N196" s="6" t="n">
        <f aca="false">IFERROR(AA196/AE196-1,"")</f>
        <v>0.2482511418165</v>
      </c>
      <c r="O196" s="3" t="str">
        <f aca="false">IF(OR(M196="",N196=""),"n/a (new)",IF(M196&gt;=0,IF(N196&gt;=0,"Long Buildup","Short Covering"),IF(N196&gt;=0,"Short Buildup","Long Unwinding")))</f>
        <v>Short Buildup</v>
      </c>
      <c r="P196" s="7" t="n">
        <f aca="false">IFERROR(AF196/AG196,"")</f>
        <v>0.415733798911369</v>
      </c>
      <c r="Q196" s="7" t="n">
        <f aca="false">IFERROR(AH196/AI196,"")</f>
        <v>0.537566742944317</v>
      </c>
      <c r="V196" s="9" t="n">
        <v>1895.47</v>
      </c>
      <c r="W196" s="9" t="n">
        <v>1943.86</v>
      </c>
      <c r="X196" s="9" t="n">
        <v>1987</v>
      </c>
      <c r="Y196" s="9" t="n">
        <v>1914.93</v>
      </c>
      <c r="Z196" s="9" t="n">
        <v>2101</v>
      </c>
      <c r="AA196" s="10" t="n">
        <v>5937525</v>
      </c>
      <c r="AB196" s="10" t="n">
        <v>6454525</v>
      </c>
      <c r="AC196" s="10" t="n">
        <v>5783250</v>
      </c>
      <c r="AD196" s="10" t="n">
        <v>4590300</v>
      </c>
      <c r="AE196" s="10" t="n">
        <v>4756675</v>
      </c>
      <c r="AF196" s="10" t="n">
        <v>1113200</v>
      </c>
      <c r="AG196" s="10" t="n">
        <v>2677675</v>
      </c>
      <c r="AH196" s="10" t="n">
        <v>775225</v>
      </c>
      <c r="AI196" s="10" t="n">
        <v>1442100</v>
      </c>
    </row>
    <row r="197" customFormat="false" ht="15" hidden="false" customHeight="false" outlineLevel="0" collapsed="false">
      <c r="A197" s="3" t="n">
        <v>194</v>
      </c>
      <c r="B197" s="4" t="s">
        <v>231</v>
      </c>
      <c r="C197" s="5" t="n">
        <v>-17.56</v>
      </c>
      <c r="D197" s="6" t="n">
        <f aca="false">IFERROR(V197/W197-1,"")</f>
        <v>-0.0203488372093024</v>
      </c>
      <c r="E197" s="6" t="n">
        <f aca="false">IFERROR(AA197/AB197-1,"")</f>
        <v>0.0215370312984196</v>
      </c>
      <c r="F197" s="3" t="str">
        <f aca="false">IF(OR(D197="",E197=""),"n/a (new)",IF(D197&gt;=0,IF(E197&gt;=0,"Long Buildup","Short Covering"),IF(E197&gt;=0,"Short Buildup","Long Unwinding")))</f>
        <v>Short Buildup</v>
      </c>
      <c r="G197" s="6" t="n">
        <f aca="false">IFERROR(V197/X197-1,"")</f>
        <v>-0.0485171549251237</v>
      </c>
      <c r="H197" s="6" t="n">
        <f aca="false">IFERROR(AA197/AC197-1,"")</f>
        <v>0.104956634683873</v>
      </c>
      <c r="I197" s="3" t="str">
        <f aca="false">IF(OR(G197="",H197=""),"n/a (new)",IF(G197&gt;=0,IF(H197&gt;=0,"Long Buildup","Short Covering"),IF(H197&gt;=0,"Short Buildup","Long Unwinding")))</f>
        <v>Short Buildup</v>
      </c>
      <c r="J197" s="6" t="n">
        <f aca="false">IFERROR(V197/Y197-1,"")</f>
        <v>-0.0292436742406784</v>
      </c>
      <c r="K197" s="6" t="n">
        <f aca="false">IFERROR(AA197/AD197-1,"")</f>
        <v>0.22234067207416</v>
      </c>
      <c r="L197" s="3" t="str">
        <f aca="false">IF(OR(J197="",K197=""),"n/a (new)",IF(J197&gt;=0,IF(K197&gt;=0,"Long Buildup","Short Covering"),IF(K197&gt;=0,"Short Buildup","Long Unwinding")))</f>
        <v>Short Buildup</v>
      </c>
      <c r="M197" s="6" t="n">
        <f aca="false">IFERROR(V197/Z197-1,"")</f>
        <v>-0.0984531917967266</v>
      </c>
      <c r="N197" s="6" t="n">
        <f aca="false">IFERROR(AA197/AE197-1,"")</f>
        <v>0.144369711434151</v>
      </c>
      <c r="O197" s="3" t="str">
        <f aca="false">IF(OR(M197="",N197=""),"n/a (new)",IF(M197&gt;=0,IF(N197&gt;=0,"Long Buildup","Short Covering"),IF(N197&gt;=0,"Short Buildup","Long Unwinding")))</f>
        <v>Short Buildup</v>
      </c>
      <c r="P197" s="7" t="n">
        <f aca="false">IFERROR(AF197/AG197,"")</f>
        <v>0.913393997445722</v>
      </c>
      <c r="Q197" s="7" t="n">
        <f aca="false">IFERROR(AH197/AI197,"")</f>
        <v>0.874232186732187</v>
      </c>
      <c r="V197" s="9" t="n">
        <v>1685</v>
      </c>
      <c r="W197" s="9" t="n">
        <v>1720</v>
      </c>
      <c r="X197" s="9" t="n">
        <v>1770.92</v>
      </c>
      <c r="Y197" s="9" t="n">
        <v>1735.76</v>
      </c>
      <c r="Z197" s="9" t="n">
        <v>1869.01</v>
      </c>
      <c r="AA197" s="10" t="n">
        <v>7252300</v>
      </c>
      <c r="AB197" s="10" t="n">
        <v>7099400</v>
      </c>
      <c r="AC197" s="10" t="n">
        <v>6563425</v>
      </c>
      <c r="AD197" s="10" t="n">
        <v>5933125</v>
      </c>
      <c r="AE197" s="10" t="n">
        <v>6337375</v>
      </c>
      <c r="AF197" s="10" t="n">
        <v>3146825</v>
      </c>
      <c r="AG197" s="10" t="n">
        <v>3445200</v>
      </c>
      <c r="AH197" s="10" t="n">
        <v>1565575</v>
      </c>
      <c r="AI197" s="10" t="n">
        <v>1790800</v>
      </c>
    </row>
    <row r="198" customFormat="false" ht="15" hidden="false" customHeight="false" outlineLevel="0" collapsed="false">
      <c r="A198" s="3" t="n">
        <v>195</v>
      </c>
      <c r="B198" s="4" t="s">
        <v>232</v>
      </c>
      <c r="C198" s="5" t="n">
        <v>-18.2</v>
      </c>
      <c r="D198" s="6" t="n">
        <f aca="false">IFERROR(V198/W198-1,"")</f>
        <v>-0.0275719161384691</v>
      </c>
      <c r="E198" s="6" t="n">
        <f aca="false">IFERROR(AA198/AB198-1,"")</f>
        <v>0.0523223030123163</v>
      </c>
      <c r="F198" s="3" t="str">
        <f aca="false">IF(OR(D198="",E198=""),"n/a (new)",IF(D198&gt;=0,IF(E198&gt;=0,"Long Buildup","Short Covering"),IF(E198&gt;=0,"Short Buildup","Long Unwinding")))</f>
        <v>Short Buildup</v>
      </c>
      <c r="G198" s="6" t="n">
        <f aca="false">IFERROR(V198/X198-1,"")</f>
        <v>-0.0821252703759953</v>
      </c>
      <c r="H198" s="6" t="n">
        <f aca="false">IFERROR(AA198/AC198-1,"")</f>
        <v>0.0718863361547764</v>
      </c>
      <c r="I198" s="3" t="str">
        <f aca="false">IF(OR(G198="",H198=""),"n/a (new)",IF(G198&gt;=0,IF(H198&gt;=0,"Long Buildup","Short Covering"),IF(H198&gt;=0,"Short Buildup","Long Unwinding")))</f>
        <v>Short Buildup</v>
      </c>
      <c r="J198" s="6" t="n">
        <f aca="false">IFERROR(V198/Y198-1,"")</f>
        <v>-0.0714851024208567</v>
      </c>
      <c r="K198" s="6" t="n">
        <f aca="false">IFERROR(AA198/AD198-1,"")</f>
        <v>0.159478107321539</v>
      </c>
      <c r="L198" s="3" t="str">
        <f aca="false">IF(OR(J198="",K198=""),"n/a (new)",IF(J198&gt;=0,IF(K198&gt;=0,"Long Buildup","Short Covering"),IF(K198&gt;=0,"Short Buildup","Long Unwinding")))</f>
        <v>Short Buildup</v>
      </c>
      <c r="M198" s="6" t="n">
        <f aca="false">IFERROR(V198/Z198-1,"")</f>
        <v>-0.0632206852821682</v>
      </c>
      <c r="N198" s="6" t="n">
        <f aca="false">IFERROR(AA198/AE198-1,"")</f>
        <v>0.18351134846462</v>
      </c>
      <c r="O198" s="3" t="str">
        <f aca="false">IF(OR(M198="",N198=""),"n/a (new)",IF(M198&gt;=0,IF(N198&gt;=0,"Long Buildup","Short Covering"),IF(N198&gt;=0,"Short Buildup","Long Unwinding")))</f>
        <v>Short Buildup</v>
      </c>
      <c r="P198" s="7" t="n">
        <f aca="false">IFERROR(AF198/AG198,"")</f>
        <v>0.499782942146847</v>
      </c>
      <c r="Q198" s="7" t="n">
        <f aca="false">IFERROR(AH198/AI198,"")</f>
        <v>0.679740659904994</v>
      </c>
      <c r="V198" s="9" t="n">
        <v>398.89</v>
      </c>
      <c r="W198" s="9" t="n">
        <v>410.2</v>
      </c>
      <c r="X198" s="9" t="n">
        <v>434.58</v>
      </c>
      <c r="Y198" s="9" t="n">
        <v>429.6</v>
      </c>
      <c r="Z198" s="9" t="n">
        <v>425.81</v>
      </c>
      <c r="AA198" s="10" t="n">
        <v>93077250</v>
      </c>
      <c r="AB198" s="10" t="n">
        <v>88449375</v>
      </c>
      <c r="AC198" s="10" t="n">
        <v>86835000</v>
      </c>
      <c r="AD198" s="10" t="n">
        <v>80275125</v>
      </c>
      <c r="AE198" s="10" t="n">
        <v>78645000</v>
      </c>
      <c r="AF198" s="10" t="n">
        <v>45331125</v>
      </c>
      <c r="AG198" s="10" t="n">
        <v>90701625</v>
      </c>
      <c r="AH198" s="10" t="n">
        <v>27796125</v>
      </c>
      <c r="AI198" s="10" t="n">
        <v>40892250</v>
      </c>
    </row>
    <row r="199" customFormat="false" ht="15" hidden="false" customHeight="false" outlineLevel="0" collapsed="false">
      <c r="A199" s="3" t="n">
        <v>196</v>
      </c>
      <c r="B199" s="4" t="s">
        <v>233</v>
      </c>
      <c r="C199" s="5" t="n">
        <v>-18.25</v>
      </c>
      <c r="D199" s="6" t="n">
        <f aca="false">IFERROR(V199/W199-1,"")</f>
        <v>-0.0260649146499402</v>
      </c>
      <c r="E199" s="6" t="n">
        <f aca="false">IFERROR(AA199/AB199-1,"")</f>
        <v>-0.0715230911737462</v>
      </c>
      <c r="F199" s="3" t="str">
        <f aca="false">IF(OR(D199="",E199=""),"n/a (new)",IF(D199&gt;=0,IF(E199&gt;=0,"Long Buildup","Short Covering"),IF(E199&gt;=0,"Short Buildup","Long Unwinding")))</f>
        <v>Long Unwinding</v>
      </c>
      <c r="G199" s="6" t="n">
        <f aca="false">IFERROR(V199/X199-1,"")</f>
        <v>-0.0526630760023937</v>
      </c>
      <c r="H199" s="6" t="n">
        <f aca="false">IFERROR(AA199/AC199-1,"")</f>
        <v>-0.0479862508762805</v>
      </c>
      <c r="I199" s="3" t="str">
        <f aca="false">IF(OR(G199="",H199=""),"n/a (new)",IF(G199&gt;=0,IF(H199&gt;=0,"Long Buildup","Short Covering"),IF(H199&gt;=0,"Short Buildup","Long Unwinding")))</f>
        <v>Long Unwinding</v>
      </c>
      <c r="J199" s="6" t="n">
        <f aca="false">IFERROR(V199/Y199-1,"")</f>
        <v>-0.116880798433482</v>
      </c>
      <c r="K199" s="6" t="n">
        <f aca="false">IFERROR(AA199/AD199-1,"")</f>
        <v>0.303778259523072</v>
      </c>
      <c r="L199" s="3" t="str">
        <f aca="false">IF(OR(J199="",K199=""),"n/a (new)",IF(J199&gt;=0,IF(K199&gt;=0,"Long Buildup","Short Covering"),IF(K199&gt;=0,"Short Buildup","Long Unwinding")))</f>
        <v>Short Buildup</v>
      </c>
      <c r="M199" s="6" t="n">
        <f aca="false">IFERROR(V199/Z199-1,"")</f>
        <v>-0.161733089037396</v>
      </c>
      <c r="N199" s="6" t="n">
        <f aca="false">IFERROR(AA199/AE199-1,"")</f>
        <v>0.218389141319133</v>
      </c>
      <c r="O199" s="3" t="str">
        <f aca="false">IF(OR(M199="",N199=""),"n/a (new)",IF(M199&gt;=0,IF(N199&gt;=0,"Long Buildup","Short Covering"),IF(N199&gt;=0,"Short Buildup","Long Unwinding")))</f>
        <v>Short Buildup</v>
      </c>
      <c r="P199" s="7" t="n">
        <f aca="false">IFERROR(AF199/AG199,"")</f>
        <v>0.420798243947741</v>
      </c>
      <c r="Q199" s="7" t="n">
        <f aca="false">IFERROR(AH199/AI199,"")</f>
        <v>0.67746835443038</v>
      </c>
      <c r="V199" s="9" t="n">
        <v>3166</v>
      </c>
      <c r="W199" s="9" t="n">
        <v>3250.73</v>
      </c>
      <c r="X199" s="9" t="n">
        <v>3342</v>
      </c>
      <c r="Y199" s="9" t="n">
        <v>3585.02</v>
      </c>
      <c r="Z199" s="9" t="n">
        <v>3776.84</v>
      </c>
      <c r="AA199" s="10" t="n">
        <v>6314850</v>
      </c>
      <c r="AB199" s="10" t="n">
        <v>6801300</v>
      </c>
      <c r="AC199" s="10" t="n">
        <v>6633150</v>
      </c>
      <c r="AD199" s="10" t="n">
        <v>4843500</v>
      </c>
      <c r="AE199" s="10" t="n">
        <v>5182950</v>
      </c>
      <c r="AF199" s="10" t="n">
        <v>2990550</v>
      </c>
      <c r="AG199" s="10" t="n">
        <v>7106850</v>
      </c>
      <c r="AH199" s="10" t="n">
        <v>2007000</v>
      </c>
      <c r="AI199" s="10" t="n">
        <v>2962500</v>
      </c>
    </row>
    <row r="200" customFormat="false" ht="15" hidden="false" customHeight="false" outlineLevel="0" collapsed="false">
      <c r="A200" s="3" t="n">
        <v>197</v>
      </c>
      <c r="B200" s="4" t="s">
        <v>234</v>
      </c>
      <c r="C200" s="5" t="n">
        <v>-18.35</v>
      </c>
      <c r="D200" s="6" t="n">
        <f aca="false">IFERROR(V200/W200-1,"")</f>
        <v>-0.00661686960673968</v>
      </c>
      <c r="E200" s="6" t="n">
        <f aca="false">IFERROR(AA200/AB200-1,"")</f>
        <v>0.00950499279115724</v>
      </c>
      <c r="F200" s="3" t="str">
        <f aca="false">IF(OR(D200="",E200=""),"n/a (new)",IF(D200&gt;=0,IF(E200&gt;=0,"Long Buildup","Short Covering"),IF(E200&gt;=0,"Short Buildup","Long Unwinding")))</f>
        <v>Short Buildup</v>
      </c>
      <c r="G200" s="6" t="n">
        <f aca="false">IFERROR(V200/X200-1,"")</f>
        <v>-0.029101940129342</v>
      </c>
      <c r="H200" s="6" t="n">
        <f aca="false">IFERROR(AA200/AC200-1,"")</f>
        <v>0.0329472188831821</v>
      </c>
      <c r="I200" s="3" t="str">
        <f aca="false">IF(OR(G200="",H200=""),"n/a (new)",IF(G200&gt;=0,IF(H200&gt;=0,"Long Buildup","Short Covering"),IF(H200&gt;=0,"Short Buildup","Long Unwinding")))</f>
        <v>Short Buildup</v>
      </c>
      <c r="J200" s="6" t="n">
        <f aca="false">IFERROR(V200/Y200-1,"")</f>
        <v>-0.0127118644067796</v>
      </c>
      <c r="K200" s="6" t="n">
        <f aca="false">IFERROR(AA200/AD200-1,"")</f>
        <v>0.290796121808002</v>
      </c>
      <c r="L200" s="3" t="str">
        <f aca="false">IF(OR(J200="",K200=""),"n/a (new)",IF(J200&gt;=0,IF(K200&gt;=0,"Long Buildup","Short Covering"),IF(K200&gt;=0,"Short Buildup","Long Unwinding")))</f>
        <v>Short Buildup</v>
      </c>
      <c r="M200" s="6" t="n">
        <f aca="false">IFERROR(V200/Z200-1,"")</f>
        <v>-0.0130464249406982</v>
      </c>
      <c r="N200" s="6" t="n">
        <f aca="false">IFERROR(AA200/AE200-1,"")</f>
        <v>0.544904796927352</v>
      </c>
      <c r="O200" s="3" t="str">
        <f aca="false">IF(OR(M200="",N200=""),"n/a (new)",IF(M200&gt;=0,IF(N200&gt;=0,"Long Buildup","Short Covering"),IF(N200&gt;=0,"Short Buildup","Long Unwinding")))</f>
        <v>Short Buildup</v>
      </c>
      <c r="P200" s="7" t="n">
        <f aca="false">IFERROR(AF200/AG200,"")</f>
        <v>0.542970933482392</v>
      </c>
      <c r="Q200" s="7" t="n">
        <f aca="false">IFERROR(AH200/AI200,"")</f>
        <v>0.572701834386983</v>
      </c>
      <c r="V200" s="9" t="n">
        <v>291.25</v>
      </c>
      <c r="W200" s="9" t="n">
        <v>293.19</v>
      </c>
      <c r="X200" s="9" t="n">
        <v>299.98</v>
      </c>
      <c r="Y200" s="9" t="n">
        <v>295</v>
      </c>
      <c r="Z200" s="9" t="n">
        <v>295.1</v>
      </c>
      <c r="AA200" s="10" t="n">
        <v>47262500</v>
      </c>
      <c r="AB200" s="10" t="n">
        <v>46817500</v>
      </c>
      <c r="AC200" s="10" t="n">
        <v>45755000</v>
      </c>
      <c r="AD200" s="10" t="n">
        <v>36615000</v>
      </c>
      <c r="AE200" s="10" t="n">
        <v>30592500</v>
      </c>
      <c r="AF200" s="10" t="n">
        <v>19427500</v>
      </c>
      <c r="AG200" s="10" t="n">
        <v>35780000</v>
      </c>
      <c r="AH200" s="10" t="n">
        <v>13815000</v>
      </c>
      <c r="AI200" s="10" t="n">
        <v>24122500</v>
      </c>
    </row>
    <row r="201" customFormat="false" ht="15" hidden="false" customHeight="false" outlineLevel="0" collapsed="false">
      <c r="A201" s="3" t="n">
        <v>198</v>
      </c>
      <c r="B201" s="4" t="s">
        <v>235</v>
      </c>
      <c r="C201" s="5" t="n">
        <v>-18.52</v>
      </c>
      <c r="D201" s="6" t="n">
        <f aca="false">IFERROR(V201/W201-1,"")</f>
        <v>-0.0105389393044442</v>
      </c>
      <c r="E201" s="6" t="n">
        <f aca="false">IFERROR(AA201/AB201-1,"")</f>
        <v>0.124501758499414</v>
      </c>
      <c r="F201" s="3" t="str">
        <f aca="false">IF(OR(D201="",E201=""),"n/a (new)",IF(D201&gt;=0,IF(E201&gt;=0,"Long Buildup","Short Covering"),IF(E201&gt;=0,"Short Buildup","Long Unwinding")))</f>
        <v>Short Buildup</v>
      </c>
      <c r="G201" s="6" t="n">
        <f aca="false">IFERROR(V201/X201-1,"")</f>
        <v>-0.043317088703983</v>
      </c>
      <c r="H201" s="6" t="n">
        <f aca="false">IFERROR(AA201/AC201-1,"")</f>
        <v>0.125293289535429</v>
      </c>
      <c r="I201" s="3" t="str">
        <f aca="false">IF(OR(G201="",H201=""),"n/a (new)",IF(G201&gt;=0,IF(H201&gt;=0,"Long Buildup","Short Covering"),IF(H201&gt;=0,"Short Buildup","Long Unwinding")))</f>
        <v>Short Buildup</v>
      </c>
      <c r="J201" s="6" t="n">
        <f aca="false">IFERROR(V201/Y201-1,"")</f>
        <v>-0.130844530535107</v>
      </c>
      <c r="K201" s="6" t="n">
        <f aca="false">IFERROR(AA201/AD201-1,"")</f>
        <v>0.972039473684211</v>
      </c>
      <c r="L201" s="3" t="str">
        <f aca="false">IF(OR(J201="",K201=""),"n/a (new)",IF(J201&gt;=0,IF(K201&gt;=0,"Long Buildup","Short Covering"),IF(K201&gt;=0,"Short Buildup","Long Unwinding")))</f>
        <v>Short Buildup</v>
      </c>
      <c r="M201" s="6" t="str">
        <f aca="false">IFERROR(V201/Z201-1,"")</f>
        <v/>
      </c>
      <c r="N201" s="6" t="str">
        <f aca="false">IFERROR(AA201/AE201-1,"")</f>
        <v/>
      </c>
      <c r="O201" s="3" t="str">
        <f aca="false">IF(OR(M201="",N201=""),"n/a (new)",IF(M201&gt;=0,IF(N201&gt;=0,"Long Buildup","Short Covering"),IF(N201&gt;=0,"Short Buildup","Long Unwinding")))</f>
        <v>n/a (new)</v>
      </c>
      <c r="P201" s="7" t="n">
        <f aca="false">IFERROR(AF201/AG201,"")</f>
        <v>0.619747281810168</v>
      </c>
      <c r="Q201" s="7" t="n">
        <f aca="false">IFERROR(AH201/AI201,"")</f>
        <v>0.503350707371556</v>
      </c>
      <c r="V201" s="9" t="n">
        <v>2764.01</v>
      </c>
      <c r="W201" s="9" t="n">
        <v>2793.45</v>
      </c>
      <c r="X201" s="9" t="n">
        <v>2889.16</v>
      </c>
      <c r="Y201" s="9" t="n">
        <v>3180.11</v>
      </c>
      <c r="Z201" s="9"/>
      <c r="AA201" s="10" t="n">
        <v>839300</v>
      </c>
      <c r="AB201" s="10" t="n">
        <v>746375</v>
      </c>
      <c r="AC201" s="10" t="n">
        <v>745850</v>
      </c>
      <c r="AD201" s="10" t="n">
        <v>425600</v>
      </c>
      <c r="AE201" s="10"/>
      <c r="AF201" s="10" t="n">
        <v>369075</v>
      </c>
      <c r="AG201" s="10" t="n">
        <v>595525</v>
      </c>
      <c r="AH201" s="10" t="n">
        <v>118300</v>
      </c>
      <c r="AI201" s="10" t="n">
        <v>235025</v>
      </c>
    </row>
    <row r="202" customFormat="false" ht="15" hidden="false" customHeight="false" outlineLevel="0" collapsed="false">
      <c r="A202" s="3" t="n">
        <v>199</v>
      </c>
      <c r="B202" s="4" t="s">
        <v>236</v>
      </c>
      <c r="C202" s="5" t="n">
        <v>-18.83</v>
      </c>
      <c r="D202" s="6" t="n">
        <f aca="false">IFERROR(V202/W202-1,"")</f>
        <v>-0.00125342734038381</v>
      </c>
      <c r="E202" s="6" t="n">
        <f aca="false">IFERROR(AA202/AB202-1,"")</f>
        <v>-0.0943578659993175</v>
      </c>
      <c r="F202" s="3" t="str">
        <f aca="false">IF(OR(D202="",E202=""),"n/a (new)",IF(D202&gt;=0,IF(E202&gt;=0,"Long Buildup","Short Covering"),IF(E202&gt;=0,"Short Buildup","Long Unwinding")))</f>
        <v>Long Unwinding</v>
      </c>
      <c r="G202" s="6" t="n">
        <f aca="false">IFERROR(V202/X202-1,"")</f>
        <v>-0.0437891420928285</v>
      </c>
      <c r="H202" s="6" t="n">
        <f aca="false">IFERROR(AA202/AC202-1,"")</f>
        <v>0.0881569056242739</v>
      </c>
      <c r="I202" s="3" t="str">
        <f aca="false">IF(OR(G202="",H202=""),"n/a (new)",IF(G202&gt;=0,IF(H202&gt;=0,"Long Buildup","Short Covering"),IF(H202&gt;=0,"Short Buildup","Long Unwinding")))</f>
        <v>Short Buildup</v>
      </c>
      <c r="J202" s="6" t="n">
        <f aca="false">IFERROR(V202/Y202-1,"")</f>
        <v>-0.0353967793596549</v>
      </c>
      <c r="K202" s="6" t="n">
        <f aca="false">IFERROR(AA202/AD202-1,"")</f>
        <v>0.211888271557957</v>
      </c>
      <c r="L202" s="3" t="str">
        <f aca="false">IF(OR(J202="",K202=""),"n/a (new)",IF(J202&gt;=0,IF(K202&gt;=0,"Long Buildup","Short Covering"),IF(K202&gt;=0,"Short Buildup","Long Unwinding")))</f>
        <v>Short Buildup</v>
      </c>
      <c r="M202" s="6" t="n">
        <f aca="false">IFERROR(V202/Z202-1,"")</f>
        <v>-0.0544389230883334</v>
      </c>
      <c r="N202" s="6" t="n">
        <f aca="false">IFERROR(AA202/AE202-1,"")</f>
        <v>0.453756961563042</v>
      </c>
      <c r="O202" s="3" t="str">
        <f aca="false">IF(OR(M202="",N202=""),"n/a (new)",IF(M202&gt;=0,IF(N202&gt;=0,"Long Buildup","Short Covering"),IF(N202&gt;=0,"Short Buildup","Long Unwinding")))</f>
        <v>Short Buildup</v>
      </c>
      <c r="P202" s="7" t="n">
        <f aca="false">IFERROR(AF202/AG202,"")</f>
        <v>0.621694067190851</v>
      </c>
      <c r="Q202" s="7" t="n">
        <f aca="false">IFERROR(AH202/AI202,"")</f>
        <v>0.708307817922025</v>
      </c>
      <c r="V202" s="9" t="n">
        <v>764.94</v>
      </c>
      <c r="W202" s="9" t="n">
        <v>765.9</v>
      </c>
      <c r="X202" s="9" t="n">
        <v>799.97</v>
      </c>
      <c r="Y202" s="9" t="n">
        <v>793.01</v>
      </c>
      <c r="Z202" s="9" t="n">
        <v>808.98</v>
      </c>
      <c r="AA202" s="10" t="n">
        <v>19505675</v>
      </c>
      <c r="AB202" s="10" t="n">
        <v>21537950</v>
      </c>
      <c r="AC202" s="10" t="n">
        <v>17925425</v>
      </c>
      <c r="AD202" s="10" t="n">
        <v>16095275</v>
      </c>
      <c r="AE202" s="10" t="n">
        <v>13417425</v>
      </c>
      <c r="AF202" s="10" t="n">
        <v>4261775</v>
      </c>
      <c r="AG202" s="10" t="n">
        <v>6855100</v>
      </c>
      <c r="AH202" s="10" t="n">
        <v>4250750</v>
      </c>
      <c r="AI202" s="10" t="n">
        <v>6001275</v>
      </c>
    </row>
    <row r="203" customFormat="false" ht="15" hidden="false" customHeight="false" outlineLevel="0" collapsed="false">
      <c r="A203" s="3" t="n">
        <v>200</v>
      </c>
      <c r="B203" s="4" t="s">
        <v>237</v>
      </c>
      <c r="C203" s="5" t="n">
        <v>-19.43</v>
      </c>
      <c r="D203" s="6" t="n">
        <f aca="false">IFERROR(V203/W203-1,"")</f>
        <v>-0.0193431941243912</v>
      </c>
      <c r="E203" s="6" t="n">
        <f aca="false">IFERROR(AA203/AB203-1,"")</f>
        <v>-0.0645161290322581</v>
      </c>
      <c r="F203" s="3" t="str">
        <f aca="false">IF(OR(D203="",E203=""),"n/a (new)",IF(D203&gt;=0,IF(E203&gt;=0,"Long Buildup","Short Covering"),IF(E203&gt;=0,"Short Buildup","Long Unwinding")))</f>
        <v>Long Unwinding</v>
      </c>
      <c r="G203" s="6" t="n">
        <f aca="false">IFERROR(V203/X203-1,"")</f>
        <v>-0.0412407746517951</v>
      </c>
      <c r="H203" s="6" t="n">
        <f aca="false">IFERROR(AA203/AC203-1,"")</f>
        <v>0.0912730184147317</v>
      </c>
      <c r="I203" s="3" t="str">
        <f aca="false">IF(OR(G203="",H203=""),"n/a (new)",IF(G203&gt;=0,IF(H203&gt;=0,"Long Buildup","Short Covering"),IF(H203&gt;=0,"Short Buildup","Long Unwinding")))</f>
        <v>Short Buildup</v>
      </c>
      <c r="J203" s="6" t="n">
        <f aca="false">IFERROR(V203/Y203-1,"")</f>
        <v>-0.0235220978862892</v>
      </c>
      <c r="K203" s="6" t="n">
        <f aca="false">IFERROR(AA203/AD203-1,"")</f>
        <v>0.22266520482408</v>
      </c>
      <c r="L203" s="3" t="str">
        <f aca="false">IF(OR(J203="",K203=""),"n/a (new)",IF(J203&gt;=0,IF(K203&gt;=0,"Long Buildup","Short Covering"),IF(K203&gt;=0,"Short Buildup","Long Unwinding")))</f>
        <v>Short Buildup</v>
      </c>
      <c r="M203" s="6" t="n">
        <f aca="false">IFERROR(V203/Z203-1,"")</f>
        <v>-0.0477612927404599</v>
      </c>
      <c r="N203" s="6" t="n">
        <f aca="false">IFERROR(AA203/AE203-1,"")</f>
        <v>0.54108040201005</v>
      </c>
      <c r="O203" s="3" t="str">
        <f aca="false">IF(OR(M203="",N203=""),"n/a (new)",IF(M203&gt;=0,IF(N203&gt;=0,"Long Buildup","Short Covering"),IF(N203&gt;=0,"Short Buildup","Long Unwinding")))</f>
        <v>Short Buildup</v>
      </c>
      <c r="P203" s="7" t="n">
        <f aca="false">IFERROR(AF203/AG203,"")</f>
        <v>0.370847987495115</v>
      </c>
      <c r="Q203" s="7" t="n">
        <f aca="false">IFERROR(AH203/AI203,"")</f>
        <v>0.558389106854373</v>
      </c>
      <c r="V203" s="9" t="n">
        <v>863.89</v>
      </c>
      <c r="W203" s="9" t="n">
        <v>880.93</v>
      </c>
      <c r="X203" s="9" t="n">
        <v>901.05</v>
      </c>
      <c r="Y203" s="9" t="n">
        <v>884.7</v>
      </c>
      <c r="Z203" s="9" t="n">
        <v>907.22</v>
      </c>
      <c r="AA203" s="10" t="n">
        <v>15947100</v>
      </c>
      <c r="AB203" s="10" t="n">
        <v>17046900</v>
      </c>
      <c r="AC203" s="10" t="n">
        <v>14613300</v>
      </c>
      <c r="AD203" s="10" t="n">
        <v>13042900</v>
      </c>
      <c r="AE203" s="10" t="n">
        <v>10348000</v>
      </c>
      <c r="AF203" s="10" t="n">
        <v>2467400</v>
      </c>
      <c r="AG203" s="10" t="n">
        <v>6653400</v>
      </c>
      <c r="AH203" s="10" t="n">
        <v>3145350</v>
      </c>
      <c r="AI203" s="10" t="n">
        <v>5632900</v>
      </c>
    </row>
    <row r="204" customFormat="false" ht="15" hidden="false" customHeight="false" outlineLevel="0" collapsed="false">
      <c r="A204" s="3" t="n">
        <v>201</v>
      </c>
      <c r="B204" s="4" t="s">
        <v>238</v>
      </c>
      <c r="C204" s="5" t="n">
        <v>-19.58</v>
      </c>
      <c r="D204" s="6" t="n">
        <f aca="false">IFERROR(V204/W204-1,"")</f>
        <v>-0.00606702227289391</v>
      </c>
      <c r="E204" s="6" t="n">
        <f aca="false">IFERROR(AA204/AB204-1,"")</f>
        <v>-0.105966856773916</v>
      </c>
      <c r="F204" s="3" t="str">
        <f aca="false">IF(OR(D204="",E204=""),"n/a (new)",IF(D204&gt;=0,IF(E204&gt;=0,"Long Buildup","Short Covering"),IF(E204&gt;=0,"Short Buildup","Long Unwinding")))</f>
        <v>Long Unwinding</v>
      </c>
      <c r="G204" s="6" t="n">
        <f aca="false">IFERROR(V204/X204-1,"")</f>
        <v>-0.0384085089619854</v>
      </c>
      <c r="H204" s="6" t="n">
        <f aca="false">IFERROR(AA204/AC204-1,"")</f>
        <v>0.00114475071546916</v>
      </c>
      <c r="I204" s="3" t="str">
        <f aca="false">IF(OR(G204="",H204=""),"n/a (new)",IF(G204&gt;=0,IF(H204&gt;=0,"Long Buildup","Short Covering"),IF(H204&gt;=0,"Short Buildup","Long Unwinding")))</f>
        <v>Short Buildup</v>
      </c>
      <c r="J204" s="6" t="n">
        <f aca="false">IFERROR(V204/Y204-1,"")</f>
        <v>-0.0516337076032479</v>
      </c>
      <c r="K204" s="6" t="n">
        <f aca="false">IFERROR(AA204/AD204-1,"")</f>
        <v>0.180149147727273</v>
      </c>
      <c r="L204" s="3" t="str">
        <f aca="false">IF(OR(J204="",K204=""),"n/a (new)",IF(J204&gt;=0,IF(K204&gt;=0,"Long Buildup","Short Covering"),IF(K204&gt;=0,"Short Buildup","Long Unwinding")))</f>
        <v>Short Buildup</v>
      </c>
      <c r="M204" s="6" t="n">
        <f aca="false">IFERROR(V204/Z204-1,"")</f>
        <v>-0.199278333606692</v>
      </c>
      <c r="N204" s="6" t="n">
        <f aca="false">IFERROR(AA204/AE204-1,"")</f>
        <v>0.379306051299079</v>
      </c>
      <c r="O204" s="3" t="str">
        <f aca="false">IF(OR(M204="",N204=""),"n/a (new)",IF(M204&gt;=0,IF(N204&gt;=0,"Long Buildup","Short Covering"),IF(N204&gt;=0,"Short Buildup","Long Unwinding")))</f>
        <v>Short Buildup</v>
      </c>
      <c r="P204" s="7" t="n">
        <f aca="false">IFERROR(AF204/AG204,"")</f>
        <v>0.588435878428466</v>
      </c>
      <c r="Q204" s="7" t="n">
        <f aca="false">IFERROR(AH204/AI204,"")</f>
        <v>0.945990424895272</v>
      </c>
      <c r="V204" s="9" t="n">
        <v>244.1</v>
      </c>
      <c r="W204" s="9" t="n">
        <v>245.59</v>
      </c>
      <c r="X204" s="9" t="n">
        <v>253.85</v>
      </c>
      <c r="Y204" s="9" t="n">
        <v>257.39</v>
      </c>
      <c r="Z204" s="9" t="n">
        <v>304.85</v>
      </c>
      <c r="AA204" s="10" t="n">
        <v>74774250</v>
      </c>
      <c r="AB204" s="10" t="n">
        <v>83637000</v>
      </c>
      <c r="AC204" s="10" t="n">
        <v>74688750</v>
      </c>
      <c r="AD204" s="10" t="n">
        <v>63360000</v>
      </c>
      <c r="AE204" s="10" t="n">
        <v>54211500</v>
      </c>
      <c r="AF204" s="10" t="n">
        <v>26790750</v>
      </c>
      <c r="AG204" s="10" t="n">
        <v>45528750</v>
      </c>
      <c r="AH204" s="10" t="n">
        <v>28453500</v>
      </c>
      <c r="AI204" s="10" t="n">
        <v>30078000</v>
      </c>
    </row>
    <row r="205" customFormat="false" ht="15" hidden="false" customHeight="false" outlineLevel="0" collapsed="false">
      <c r="A205" s="3" t="n">
        <v>202</v>
      </c>
      <c r="B205" s="4" t="s">
        <v>239</v>
      </c>
      <c r="C205" s="5" t="n">
        <v>-19.73</v>
      </c>
      <c r="D205" s="6" t="n">
        <f aca="false">IFERROR(V205/W205-1,"")</f>
        <v>-0.024069759302407</v>
      </c>
      <c r="E205" s="6" t="n">
        <f aca="false">IFERROR(AA205/AB205-1,"")</f>
        <v>0.0956463496316142</v>
      </c>
      <c r="F205" s="3" t="str">
        <f aca="false">IF(OR(D205="",E205=""),"n/a (new)",IF(D205&gt;=0,IF(E205&gt;=0,"Long Buildup","Short Covering"),IF(E205&gt;=0,"Short Buildup","Long Unwinding")))</f>
        <v>Short Buildup</v>
      </c>
      <c r="G205" s="6" t="n">
        <f aca="false">IFERROR(V205/X205-1,"")</f>
        <v>-0.0837964701464513</v>
      </c>
      <c r="H205" s="6" t="n">
        <f aca="false">IFERROR(AA205/AC205-1,"")</f>
        <v>0.170937723693629</v>
      </c>
      <c r="I205" s="3" t="str">
        <f aca="false">IF(OR(G205="",H205=""),"n/a (new)",IF(G205&gt;=0,IF(H205&gt;=0,"Long Buildup","Short Covering"),IF(H205&gt;=0,"Short Buildup","Long Unwinding")))</f>
        <v>Short Buildup</v>
      </c>
      <c r="J205" s="6" t="n">
        <f aca="false">IFERROR(V205/Y205-1,"")</f>
        <v>-0.0610815543134218</v>
      </c>
      <c r="K205" s="6" t="n">
        <f aca="false">IFERROR(AA205/AD205-1,"")</f>
        <v>0.194014598540146</v>
      </c>
      <c r="L205" s="3" t="str">
        <f aca="false">IF(OR(J205="",K205=""),"n/a (new)",IF(J205&gt;=0,IF(K205&gt;=0,"Long Buildup","Short Covering"),IF(K205&gt;=0,"Short Buildup","Long Unwinding")))</f>
        <v>Short Buildup</v>
      </c>
      <c r="M205" s="6" t="n">
        <f aca="false">IFERROR(V205/Z205-1,"")</f>
        <v>-0.157953770890674</v>
      </c>
      <c r="N205" s="6" t="n">
        <f aca="false">IFERROR(AA205/AE205-1,"")</f>
        <v>-0.438255494505495</v>
      </c>
      <c r="O205" s="3" t="str">
        <f aca="false">IF(OR(M205="",N205=""),"n/a (new)",IF(M205&gt;=0,IF(N205&gt;=0,"Long Buildup","Short Covering"),IF(N205&gt;=0,"Short Buildup","Long Unwinding")))</f>
        <v>Long Unwinding</v>
      </c>
      <c r="P205" s="7" t="n">
        <f aca="false">IFERROR(AF205/AG205,"")</f>
        <v>0.670306812272491</v>
      </c>
      <c r="Q205" s="7" t="n">
        <f aca="false">IFERROR(AH205/AI205,"")</f>
        <v>0.686305732484076</v>
      </c>
      <c r="V205" s="9" t="n">
        <v>975.94</v>
      </c>
      <c r="W205" s="9" t="n">
        <v>1000.01</v>
      </c>
      <c r="X205" s="9" t="n">
        <v>1065.2</v>
      </c>
      <c r="Y205" s="9" t="n">
        <v>1039.43</v>
      </c>
      <c r="Z205" s="9" t="n">
        <v>1159.01</v>
      </c>
      <c r="AA205" s="10" t="n">
        <v>5111875</v>
      </c>
      <c r="AB205" s="10" t="n">
        <v>4665625</v>
      </c>
      <c r="AC205" s="10" t="n">
        <v>4365625</v>
      </c>
      <c r="AD205" s="10" t="n">
        <v>4281250</v>
      </c>
      <c r="AE205" s="10" t="n">
        <v>9100000</v>
      </c>
      <c r="AF205" s="10" t="n">
        <v>1611250</v>
      </c>
      <c r="AG205" s="10" t="n">
        <v>2403750</v>
      </c>
      <c r="AH205" s="10" t="n">
        <v>808125</v>
      </c>
      <c r="AI205" s="10" t="n">
        <v>1177500</v>
      </c>
    </row>
    <row r="206" customFormat="false" ht="15" hidden="false" customHeight="false" outlineLevel="0" collapsed="false">
      <c r="A206" s="3" t="n">
        <v>203</v>
      </c>
      <c r="B206" s="4" t="s">
        <v>240</v>
      </c>
      <c r="C206" s="5" t="n">
        <v>-19.89</v>
      </c>
      <c r="D206" s="6" t="n">
        <f aca="false">IFERROR(V206/W206-1,"")</f>
        <v>-0.0353596234429712</v>
      </c>
      <c r="E206" s="6" t="n">
        <f aca="false">IFERROR(AA206/AB206-1,"")</f>
        <v>0.0473495784732647</v>
      </c>
      <c r="F206" s="3" t="str">
        <f aca="false">IF(OR(D206="",E206=""),"n/a (new)",IF(D206&gt;=0,IF(E206&gt;=0,"Long Buildup","Short Covering"),IF(E206&gt;=0,"Short Buildup","Long Unwinding")))</f>
        <v>Short Buildup</v>
      </c>
      <c r="G206" s="6" t="n">
        <f aca="false">IFERROR(V206/X206-1,"")</f>
        <v>-0.0608373943756426</v>
      </c>
      <c r="H206" s="6" t="n">
        <f aca="false">IFERROR(AA206/AC206-1,"")</f>
        <v>0.212595266746891</v>
      </c>
      <c r="I206" s="3" t="str">
        <f aca="false">IF(OR(G206="",H206=""),"n/a (new)",IF(G206&gt;=0,IF(H206&gt;=0,"Long Buildup","Short Covering"),IF(H206&gt;=0,"Short Buildup","Long Unwinding")))</f>
        <v>Short Buildup</v>
      </c>
      <c r="J206" s="6" t="n">
        <f aca="false">IFERROR(V206/Y206-1,"")</f>
        <v>-0.0484532906925652</v>
      </c>
      <c r="K206" s="6" t="n">
        <f aca="false">IFERROR(AA206/AD206-1,"")</f>
        <v>0.209845250800427</v>
      </c>
      <c r="L206" s="3" t="str">
        <f aca="false">IF(OR(J206="",K206=""),"n/a (new)",IF(J206&gt;=0,IF(K206&gt;=0,"Long Buildup","Short Covering"),IF(K206&gt;=0,"Short Buildup","Long Unwinding")))</f>
        <v>Short Buildup</v>
      </c>
      <c r="M206" s="6" t="n">
        <f aca="false">IFERROR(V206/Z206-1,"")</f>
        <v>-0.0556866711620589</v>
      </c>
      <c r="N206" s="6" t="n">
        <f aca="false">IFERROR(AA206/AE206-1,"")</f>
        <v>0.210006671114076</v>
      </c>
      <c r="O206" s="3" t="str">
        <f aca="false">IF(OR(M206="",N206=""),"n/a (new)",IF(M206&gt;=0,IF(N206&gt;=0,"Long Buildup","Short Covering"),IF(N206&gt;=0,"Short Buildup","Long Unwinding")))</f>
        <v>Short Buildup</v>
      </c>
      <c r="P206" s="7" t="n">
        <f aca="false">IFERROR(AF206/AG206,"")</f>
        <v>0.584879189399844</v>
      </c>
      <c r="Q206" s="7" t="n">
        <f aca="false">IFERROR(AH206/AI206,"")</f>
        <v>0.606066902140037</v>
      </c>
      <c r="V206" s="9" t="n">
        <v>4201.25</v>
      </c>
      <c r="W206" s="9" t="n">
        <v>4355.25</v>
      </c>
      <c r="X206" s="9" t="n">
        <v>4473.4</v>
      </c>
      <c r="Y206" s="9" t="n">
        <v>4415.18</v>
      </c>
      <c r="Z206" s="9" t="n">
        <v>4449</v>
      </c>
      <c r="AA206" s="10" t="n">
        <v>1360350</v>
      </c>
      <c r="AB206" s="10" t="n">
        <v>1298850</v>
      </c>
      <c r="AC206" s="10" t="n">
        <v>1121850</v>
      </c>
      <c r="AD206" s="10" t="n">
        <v>1124400</v>
      </c>
      <c r="AE206" s="10" t="n">
        <v>1124250</v>
      </c>
      <c r="AF206" s="10" t="n">
        <v>562800</v>
      </c>
      <c r="AG206" s="10" t="n">
        <v>962250</v>
      </c>
      <c r="AH206" s="10" t="n">
        <v>437550</v>
      </c>
      <c r="AI206" s="10" t="n">
        <v>721950</v>
      </c>
    </row>
    <row r="207" customFormat="false" ht="15" hidden="false" customHeight="false" outlineLevel="0" collapsed="false">
      <c r="A207" s="3" t="n">
        <v>204</v>
      </c>
      <c r="B207" s="4" t="s">
        <v>241</v>
      </c>
      <c r="C207" s="5" t="n">
        <v>-19.92</v>
      </c>
      <c r="D207" s="6" t="n">
        <f aca="false">IFERROR(V207/W207-1,"")</f>
        <v>-0.0361912245095127</v>
      </c>
      <c r="E207" s="6" t="n">
        <f aca="false">IFERROR(AA207/AB207-1,"")</f>
        <v>0.059777614409116</v>
      </c>
      <c r="F207" s="3" t="str">
        <f aca="false">IF(OR(D207="",E207=""),"n/a (new)",IF(D207&gt;=0,IF(E207&gt;=0,"Long Buildup","Short Covering"),IF(E207&gt;=0,"Short Buildup","Long Unwinding")))</f>
        <v>Short Buildup</v>
      </c>
      <c r="G207" s="6" t="n">
        <f aca="false">IFERROR(V207/X207-1,"")</f>
        <v>-0.0674376906259465</v>
      </c>
      <c r="H207" s="6" t="n">
        <f aca="false">IFERROR(AA207/AC207-1,"")</f>
        <v>0.0736896005958476</v>
      </c>
      <c r="I207" s="3" t="str">
        <f aca="false">IF(OR(G207="",H207=""),"n/a (new)",IF(G207&gt;=0,IF(H207&gt;=0,"Long Buildup","Short Covering"),IF(H207&gt;=0,"Short Buildup","Long Unwinding")))</f>
        <v>Short Buildup</v>
      </c>
      <c r="J207" s="6" t="n">
        <f aca="false">IFERROR(V207/Y207-1,"")</f>
        <v>-0.126071076104388</v>
      </c>
      <c r="K207" s="6" t="n">
        <f aca="false">IFERROR(AA207/AD207-1,"")</f>
        <v>0.245881272619241</v>
      </c>
      <c r="L207" s="3" t="str">
        <f aca="false">IF(OR(J207="",K207=""),"n/a (new)",IF(J207&gt;=0,IF(K207&gt;=0,"Long Buildup","Short Covering"),IF(K207&gt;=0,"Short Buildup","Long Unwinding")))</f>
        <v>Short Buildup</v>
      </c>
      <c r="M207" s="6" t="n">
        <f aca="false">IFERROR(V207/Z207-1,"")</f>
        <v>-0.139421376664775</v>
      </c>
      <c r="N207" s="6" t="n">
        <f aca="false">IFERROR(AA207/AE207-1,"")</f>
        <v>0.0358377868594781</v>
      </c>
      <c r="O207" s="3" t="str">
        <f aca="false">IF(OR(M207="",N207=""),"n/a (new)",IF(M207&gt;=0,IF(N207&gt;=0,"Long Buildup","Short Covering"),IF(N207&gt;=0,"Short Buildup","Long Unwinding")))</f>
        <v>Short Buildup</v>
      </c>
      <c r="P207" s="7" t="n">
        <f aca="false">IFERROR(AF207/AG207,"")</f>
        <v>0.546134868421053</v>
      </c>
      <c r="Q207" s="7" t="n">
        <f aca="false">IFERROR(AH207/AI207,"")</f>
        <v>0.924789251844046</v>
      </c>
      <c r="V207" s="9" t="n">
        <v>27035</v>
      </c>
      <c r="W207" s="9" t="n">
        <v>28050.17</v>
      </c>
      <c r="X207" s="9" t="n">
        <v>28990.02</v>
      </c>
      <c r="Y207" s="9" t="n">
        <v>30935.01</v>
      </c>
      <c r="Z207" s="9" t="n">
        <v>31414.91</v>
      </c>
      <c r="AA207" s="10" t="n">
        <v>576625</v>
      </c>
      <c r="AB207" s="10" t="n">
        <v>544100</v>
      </c>
      <c r="AC207" s="10" t="n">
        <v>537050</v>
      </c>
      <c r="AD207" s="10" t="n">
        <v>462825</v>
      </c>
      <c r="AE207" s="10" t="n">
        <v>556675</v>
      </c>
      <c r="AF207" s="10" t="n">
        <v>332050</v>
      </c>
      <c r="AG207" s="10" t="n">
        <v>608000</v>
      </c>
      <c r="AH207" s="10" t="n">
        <v>175525</v>
      </c>
      <c r="AI207" s="10" t="n">
        <v>189800</v>
      </c>
    </row>
    <row r="208" customFormat="false" ht="15" hidden="false" customHeight="false" outlineLevel="0" collapsed="false">
      <c r="A208" s="3" t="n">
        <v>205</v>
      </c>
      <c r="B208" s="4" t="s">
        <v>242</v>
      </c>
      <c r="C208" s="5" t="n">
        <v>-20.15</v>
      </c>
      <c r="D208" s="6" t="n">
        <f aca="false">IFERROR(V208/W208-1,"")</f>
        <v>-0.00475036236738569</v>
      </c>
      <c r="E208" s="6" t="n">
        <f aca="false">IFERROR(AA208/AB208-1,"")</f>
        <v>0.029654352246135</v>
      </c>
      <c r="F208" s="3" t="str">
        <f aca="false">IF(OR(D208="",E208=""),"n/a (new)",IF(D208&gt;=0,IF(E208&gt;=0,"Long Buildup","Short Covering"),IF(E208&gt;=0,"Short Buildup","Long Unwinding")))</f>
        <v>Short Buildup</v>
      </c>
      <c r="G208" s="6" t="n">
        <f aca="false">IFERROR(V208/X208-1,"")</f>
        <v>-0.0341839930970083</v>
      </c>
      <c r="H208" s="6" t="n">
        <f aca="false">IFERROR(AA208/AC208-1,"")</f>
        <v>0.136132746359634</v>
      </c>
      <c r="I208" s="3" t="str">
        <f aca="false">IF(OR(G208="",H208=""),"n/a (new)",IF(G208&gt;=0,IF(H208&gt;=0,"Long Buildup","Short Covering"),IF(H208&gt;=0,"Short Buildup","Long Unwinding")))</f>
        <v>Short Buildup</v>
      </c>
      <c r="J208" s="6" t="n">
        <f aca="false">IFERROR(V208/Y208-1,"")</f>
        <v>-0.0521547474044428</v>
      </c>
      <c r="K208" s="6" t="n">
        <f aca="false">IFERROR(AA208/AD208-1,"")</f>
        <v>0.290632814002693</v>
      </c>
      <c r="L208" s="3" t="str">
        <f aca="false">IF(OR(J208="",K208=""),"n/a (new)",IF(J208&gt;=0,IF(K208&gt;=0,"Long Buildup","Short Covering"),IF(K208&gt;=0,"Short Buildup","Long Unwinding")))</f>
        <v>Short Buildup</v>
      </c>
      <c r="M208" s="6" t="n">
        <f aca="false">IFERROR(V208/Z208-1,"")</f>
        <v>-0.0881302591344328</v>
      </c>
      <c r="N208" s="6" t="n">
        <f aca="false">IFERROR(AA208/AE208-1,"")</f>
        <v>0.317429931772444</v>
      </c>
      <c r="O208" s="3" t="str">
        <f aca="false">IF(OR(M208="",N208=""),"n/a (new)",IF(M208&gt;=0,IF(N208&gt;=0,"Long Buildup","Short Covering"),IF(N208&gt;=0,"Short Buildup","Long Unwinding")))</f>
        <v>Short Buildup</v>
      </c>
      <c r="P208" s="7" t="n">
        <f aca="false">IFERROR(AF208/AG208,"")</f>
        <v>0.559088269454123</v>
      </c>
      <c r="Q208" s="7" t="n">
        <f aca="false">IFERROR(AH208/AI208,"")</f>
        <v>0.776701030927835</v>
      </c>
      <c r="V208" s="9" t="n">
        <v>817.09</v>
      </c>
      <c r="W208" s="9" t="n">
        <v>820.99</v>
      </c>
      <c r="X208" s="9" t="n">
        <v>846.01</v>
      </c>
      <c r="Y208" s="9" t="n">
        <v>862.05</v>
      </c>
      <c r="Z208" s="9" t="n">
        <v>896.06</v>
      </c>
      <c r="AA208" s="10" t="n">
        <v>22814000</v>
      </c>
      <c r="AB208" s="10" t="n">
        <v>22156950</v>
      </c>
      <c r="AC208" s="10" t="n">
        <v>20080400</v>
      </c>
      <c r="AD208" s="10" t="n">
        <v>17676600</v>
      </c>
      <c r="AE208" s="10" t="n">
        <v>17317050</v>
      </c>
      <c r="AF208" s="10" t="n">
        <v>6546700</v>
      </c>
      <c r="AG208" s="10" t="n">
        <v>11709600</v>
      </c>
      <c r="AH208" s="10" t="n">
        <v>3201950</v>
      </c>
      <c r="AI208" s="10" t="n">
        <v>4122500</v>
      </c>
    </row>
    <row r="209" customFormat="false" ht="15" hidden="false" customHeight="false" outlineLevel="0" collapsed="false">
      <c r="A209" s="3" t="n">
        <v>206</v>
      </c>
      <c r="B209" s="4" t="s">
        <v>243</v>
      </c>
      <c r="C209" s="5" t="n">
        <v>-20.76</v>
      </c>
      <c r="D209" s="6" t="n">
        <f aca="false">IFERROR(V209/W209-1,"")</f>
        <v>-0.0547308173850831</v>
      </c>
      <c r="E209" s="6" t="n">
        <f aca="false">IFERROR(AA209/AB209-1,"")</f>
        <v>0.126618705035971</v>
      </c>
      <c r="F209" s="3" t="str">
        <f aca="false">IF(OR(D209="",E209=""),"n/a (new)",IF(D209&gt;=0,IF(E209&gt;=0,"Long Buildup","Short Covering"),IF(E209&gt;=0,"Short Buildup","Long Unwinding")))</f>
        <v>Short Buildup</v>
      </c>
      <c r="G209" s="6" t="n">
        <f aca="false">IFERROR(V209/X209-1,"")</f>
        <v>-0.0976994323274574</v>
      </c>
      <c r="H209" s="6" t="n">
        <f aca="false">IFERROR(AA209/AC209-1,"")</f>
        <v>0.190164394453149</v>
      </c>
      <c r="I209" s="3" t="str">
        <f aca="false">IF(OR(G209="",H209=""),"n/a (new)",IF(G209&gt;=0,IF(H209&gt;=0,"Long Buildup","Short Covering"),IF(H209&gt;=0,"Short Buildup","Long Unwinding")))</f>
        <v>Short Buildup</v>
      </c>
      <c r="J209" s="6" t="n">
        <f aca="false">IFERROR(V209/Y209-1,"")</f>
        <v>-0.100387250521299</v>
      </c>
      <c r="K209" s="6" t="n">
        <f aca="false">IFERROR(AA209/AD209-1,"")</f>
        <v>0.221059955375351</v>
      </c>
      <c r="L209" s="3" t="str">
        <f aca="false">IF(OR(J209="",K209=""),"n/a (new)",IF(J209&gt;=0,IF(K209&gt;=0,"Long Buildup","Short Covering"),IF(K209&gt;=0,"Short Buildup","Long Unwinding")))</f>
        <v>Short Buildup</v>
      </c>
      <c r="M209" s="6" t="n">
        <f aca="false">IFERROR(V209/Z209-1,"")</f>
        <v>-0.255791030064071</v>
      </c>
      <c r="N209" s="6" t="n">
        <f aca="false">IFERROR(AA209/AE209-1,"")</f>
        <v>-0.115161946487248</v>
      </c>
      <c r="O209" s="3" t="str">
        <f aca="false">IF(OR(M209="",N209=""),"n/a (new)",IF(M209&gt;=0,IF(N209&gt;=0,"Long Buildup","Short Covering"),IF(N209&gt;=0,"Short Buildup","Long Unwinding")))</f>
        <v>Long Unwinding</v>
      </c>
      <c r="P209" s="7" t="n">
        <f aca="false">IFERROR(AF209/AG209,"")</f>
        <v>0.49844364093696</v>
      </c>
      <c r="Q209" s="7" t="n">
        <f aca="false">IFERROR(AH209/AI209,"")</f>
        <v>0.483040029178444</v>
      </c>
      <c r="V209" s="9" t="n">
        <v>211.4</v>
      </c>
      <c r="W209" s="9" t="n">
        <v>223.64</v>
      </c>
      <c r="X209" s="9" t="n">
        <v>234.29</v>
      </c>
      <c r="Y209" s="9" t="n">
        <v>234.99</v>
      </c>
      <c r="Z209" s="9" t="n">
        <v>284.06</v>
      </c>
      <c r="AA209" s="10" t="n">
        <v>92883375</v>
      </c>
      <c r="AB209" s="10" t="n">
        <v>82444375</v>
      </c>
      <c r="AC209" s="10" t="n">
        <v>78042475</v>
      </c>
      <c r="AD209" s="10" t="n">
        <v>76067825</v>
      </c>
      <c r="AE209" s="10" t="n">
        <v>104972175</v>
      </c>
      <c r="AF209" s="10" t="n">
        <v>28931725</v>
      </c>
      <c r="AG209" s="10" t="n">
        <v>58044125</v>
      </c>
      <c r="AH209" s="10" t="n">
        <v>19335875</v>
      </c>
      <c r="AI209" s="10" t="n">
        <v>40029550</v>
      </c>
    </row>
    <row r="210" customFormat="false" ht="15" hidden="false" customHeight="false" outlineLevel="0" collapsed="false">
      <c r="A210" s="3" t="n">
        <v>207</v>
      </c>
      <c r="B210" s="4" t="s">
        <v>244</v>
      </c>
      <c r="C210" s="5" t="n">
        <v>-21.24</v>
      </c>
      <c r="D210" s="6" t="n">
        <f aca="false">IFERROR(V210/W210-1,"")</f>
        <v>-0.0134757800169965</v>
      </c>
      <c r="E210" s="6" t="n">
        <f aca="false">IFERROR(AA210/AB210-1,"")</f>
        <v>0.0793808577108777</v>
      </c>
      <c r="F210" s="3" t="str">
        <f aca="false">IF(OR(D210="",E210=""),"n/a (new)",IF(D210&gt;=0,IF(E210&gt;=0,"Long Buildup","Short Covering"),IF(E210&gt;=0,"Short Buildup","Long Unwinding")))</f>
        <v>Short Buildup</v>
      </c>
      <c r="G210" s="6" t="n">
        <f aca="false">IFERROR(V210/X210-1,"")</f>
        <v>-0.0456840869054609</v>
      </c>
      <c r="H210" s="6" t="n">
        <f aca="false">IFERROR(AA210/AC210-1,"")</f>
        <v>0.182666874124786</v>
      </c>
      <c r="I210" s="3" t="str">
        <f aca="false">IF(OR(G210="",H210=""),"n/a (new)",IF(G210&gt;=0,IF(H210&gt;=0,"Long Buildup","Short Covering"),IF(H210&gt;=0,"Short Buildup","Long Unwinding")))</f>
        <v>Short Buildup</v>
      </c>
      <c r="J210" s="6" t="n">
        <f aca="false">IFERROR(V210/Y210-1,"")</f>
        <v>-0.022912145060151</v>
      </c>
      <c r="K210" s="6" t="n">
        <f aca="false">IFERROR(AA210/AD210-1,"")</f>
        <v>0.377117492526497</v>
      </c>
      <c r="L210" s="3" t="str">
        <f aca="false">IF(OR(J210="",K210=""),"n/a (new)",IF(J210&gt;=0,IF(K210&gt;=0,"Long Buildup","Short Covering"),IF(K210&gt;=0,"Short Buildup","Long Unwinding")))</f>
        <v>Short Buildup</v>
      </c>
      <c r="M210" s="6" t="n">
        <f aca="false">IFERROR(V210/Z210-1,"")</f>
        <v>-0.119409616489125</v>
      </c>
      <c r="N210" s="6" t="n">
        <f aca="false">IFERROR(AA210/AE210-1,"")</f>
        <v>0.198517817723116</v>
      </c>
      <c r="O210" s="3" t="str">
        <f aca="false">IF(OR(M210="",N210=""),"n/a (new)",IF(M210&gt;=0,IF(N210&gt;=0,"Long Buildup","Short Covering"),IF(N210&gt;=0,"Short Buildup","Long Unwinding")))</f>
        <v>Short Buildup</v>
      </c>
      <c r="P210" s="7" t="n">
        <f aca="false">IFERROR(AF210/AG210,"")</f>
        <v>0.780512055679841</v>
      </c>
      <c r="Q210" s="7" t="n">
        <f aca="false">IFERROR(AH210/AI210,"")</f>
        <v>1.02057281161759</v>
      </c>
      <c r="V210" s="9" t="n">
        <v>1625.2</v>
      </c>
      <c r="W210" s="9" t="n">
        <v>1647.4</v>
      </c>
      <c r="X210" s="9" t="n">
        <v>1703</v>
      </c>
      <c r="Y210" s="9" t="n">
        <v>1663.31</v>
      </c>
      <c r="Z210" s="9" t="n">
        <v>1845.58</v>
      </c>
      <c r="AA210" s="10" t="n">
        <v>5320700</v>
      </c>
      <c r="AB210" s="10" t="n">
        <v>4929400</v>
      </c>
      <c r="AC210" s="10" t="n">
        <v>4498900</v>
      </c>
      <c r="AD210" s="10" t="n">
        <v>3863650</v>
      </c>
      <c r="AE210" s="10" t="n">
        <v>4439400</v>
      </c>
      <c r="AF210" s="10" t="n">
        <v>1099000</v>
      </c>
      <c r="AG210" s="10" t="n">
        <v>1408050</v>
      </c>
      <c r="AH210" s="10" t="n">
        <v>885500</v>
      </c>
      <c r="AI210" s="10" t="n">
        <v>867650</v>
      </c>
    </row>
    <row r="211" customFormat="false" ht="15" hidden="false" customHeight="false" outlineLevel="0" collapsed="false">
      <c r="A211" s="3" t="n">
        <v>208</v>
      </c>
      <c r="B211" s="4" t="s">
        <v>245</v>
      </c>
      <c r="C211" s="5" t="n">
        <v>-21.44</v>
      </c>
      <c r="D211" s="6" t="n">
        <f aca="false">IFERROR(V211/W211-1,"")</f>
        <v>-0.00356140992803999</v>
      </c>
      <c r="E211" s="6" t="n">
        <f aca="false">IFERROR(AA211/AB211-1,"")</f>
        <v>0.0212567659604976</v>
      </c>
      <c r="F211" s="3" t="str">
        <f aca="false">IF(OR(D211="",E211=""),"n/a (new)",IF(D211&gt;=0,IF(E211&gt;=0,"Long Buildup","Short Covering"),IF(E211&gt;=0,"Short Buildup","Long Unwinding")))</f>
        <v>Short Buildup</v>
      </c>
      <c r="G211" s="6" t="n">
        <f aca="false">IFERROR(V211/X211-1,"")</f>
        <v>-0.0342911854750057</v>
      </c>
      <c r="H211" s="6" t="n">
        <f aca="false">IFERROR(AA211/AC211-1,"")</f>
        <v>0.0777378475505959</v>
      </c>
      <c r="I211" s="3" t="str">
        <f aca="false">IF(OR(G211="",H211=""),"n/a (new)",IF(G211&gt;=0,IF(H211&gt;=0,"Long Buildup","Short Covering"),IF(H211&gt;=0,"Short Buildup","Long Unwinding")))</f>
        <v>Short Buildup</v>
      </c>
      <c r="J211" s="6" t="n">
        <f aca="false">IFERROR(V211/Y211-1,"")</f>
        <v>-0.0646088320490948</v>
      </c>
      <c r="K211" s="6" t="n">
        <f aca="false">IFERROR(AA211/AD211-1,"")</f>
        <v>0.20414201183432</v>
      </c>
      <c r="L211" s="3" t="str">
        <f aca="false">IF(OR(J211="",K211=""),"n/a (new)",IF(J211&gt;=0,IF(K211&gt;=0,"Long Buildup","Short Covering"),IF(K211&gt;=0,"Short Buildup","Long Unwinding")))</f>
        <v>Short Buildup</v>
      </c>
      <c r="M211" s="6" t="n">
        <f aca="false">IFERROR(V211/Z211-1,"")</f>
        <v>-0.226710837671557</v>
      </c>
      <c r="N211" s="6" t="n">
        <f aca="false">IFERROR(AA211/AE211-1,"")</f>
        <v>0.377459749552773</v>
      </c>
      <c r="O211" s="3" t="str">
        <f aca="false">IF(OR(M211="",N211=""),"n/a (new)",IF(M211&gt;=0,IF(N211&gt;=0,"Long Buildup","Short Covering"),IF(N211&gt;=0,"Short Buildup","Long Unwinding")))</f>
        <v>Short Buildup</v>
      </c>
      <c r="P211" s="7" t="n">
        <f aca="false">IFERROR(AF211/AG211,"")</f>
        <v>0.618451162230519</v>
      </c>
      <c r="Q211" s="7" t="n">
        <f aca="false">IFERROR(AH211/AI211,"")</f>
        <v>0.636505588428665</v>
      </c>
      <c r="V211" s="9" t="n">
        <v>816.98</v>
      </c>
      <c r="W211" s="9" t="n">
        <v>819.9</v>
      </c>
      <c r="X211" s="9" t="n">
        <v>845.99</v>
      </c>
      <c r="Y211" s="9" t="n">
        <v>873.41</v>
      </c>
      <c r="Z211" s="9" t="n">
        <v>1056.5</v>
      </c>
      <c r="AA211" s="10" t="n">
        <v>14957250</v>
      </c>
      <c r="AB211" s="10" t="n">
        <v>14645925</v>
      </c>
      <c r="AC211" s="10" t="n">
        <v>13878375</v>
      </c>
      <c r="AD211" s="10" t="n">
        <v>12421500</v>
      </c>
      <c r="AE211" s="10" t="n">
        <v>10858575</v>
      </c>
      <c r="AF211" s="10" t="n">
        <v>5391750</v>
      </c>
      <c r="AG211" s="10" t="n">
        <v>8718150</v>
      </c>
      <c r="AH211" s="10" t="n">
        <v>4066125</v>
      </c>
      <c r="AI211" s="10" t="n">
        <v>6388200</v>
      </c>
    </row>
    <row r="212" customFormat="false" ht="15" hidden="false" customHeight="false" outlineLevel="0" collapsed="false">
      <c r="A212" s="3" t="n">
        <v>209</v>
      </c>
      <c r="B212" s="4" t="s">
        <v>246</v>
      </c>
      <c r="C212" s="5" t="n">
        <v>-22.61</v>
      </c>
      <c r="D212" s="6" t="n">
        <f aca="false">IFERROR(V212/W212-1,"")</f>
        <v>-0.0252589641434263</v>
      </c>
      <c r="E212" s="6" t="n">
        <f aca="false">IFERROR(AA212/AB212-1,"")</f>
        <v>0.0708831428721892</v>
      </c>
      <c r="F212" s="3" t="str">
        <f aca="false">IF(OR(D212="",E212=""),"n/a (new)",IF(D212&gt;=0,IF(E212&gt;=0,"Long Buildup","Short Covering"),IF(E212&gt;=0,"Short Buildup","Long Unwinding")))</f>
        <v>Short Buildup</v>
      </c>
      <c r="G212" s="6" t="n">
        <f aca="false">IFERROR(V212/X212-1,"")</f>
        <v>-0.0552792536760164</v>
      </c>
      <c r="H212" s="6" t="n">
        <f aca="false">IFERROR(AA212/AC212-1,"")</f>
        <v>0.0755275823768975</v>
      </c>
      <c r="I212" s="3" t="str">
        <f aca="false">IF(OR(G212="",H212=""),"n/a (new)",IF(G212&gt;=0,IF(H212&gt;=0,"Long Buildup","Short Covering"),IF(H212&gt;=0,"Short Buildup","Long Unwinding")))</f>
        <v>Short Buildup</v>
      </c>
      <c r="J212" s="6" t="n">
        <f aca="false">IFERROR(V212/Y212-1,"")</f>
        <v>-0.0749395039322445</v>
      </c>
      <c r="K212" s="6" t="n">
        <f aca="false">IFERROR(AA212/AD212-1,"")</f>
        <v>0.249923166758867</v>
      </c>
      <c r="L212" s="3" t="str">
        <f aca="false">IF(OR(J212="",K212=""),"n/a (new)",IF(J212&gt;=0,IF(K212&gt;=0,"Long Buildup","Short Covering"),IF(K212&gt;=0,"Short Buildup","Long Unwinding")))</f>
        <v>Short Buildup</v>
      </c>
      <c r="M212" s="6" t="n">
        <f aca="false">IFERROR(V212/Z212-1,"")</f>
        <v>-0.212906961780981</v>
      </c>
      <c r="N212" s="6" t="n">
        <f aca="false">IFERROR(AA212/AE212-1,"")</f>
        <v>0.320969208782643</v>
      </c>
      <c r="O212" s="3" t="str">
        <f aca="false">IF(OR(M212="",N212=""),"n/a (new)",IF(M212&gt;=0,IF(N212&gt;=0,"Long Buildup","Short Covering"),IF(N212&gt;=0,"Short Buildup","Long Unwinding")))</f>
        <v>Short Buildup</v>
      </c>
      <c r="P212" s="7" t="n">
        <f aca="false">IFERROR(AF212/AG212,"")</f>
        <v>0.502383222116301</v>
      </c>
      <c r="Q212" s="7" t="n">
        <f aca="false">IFERROR(AH212/AI212,"")</f>
        <v>0.629965947786606</v>
      </c>
      <c r="V212" s="9" t="n">
        <v>1223.3</v>
      </c>
      <c r="W212" s="9" t="n">
        <v>1255</v>
      </c>
      <c r="X212" s="9" t="n">
        <v>1294.88</v>
      </c>
      <c r="Y212" s="9" t="n">
        <v>1322.4</v>
      </c>
      <c r="Z212" s="9" t="n">
        <v>1554.2</v>
      </c>
      <c r="AA212" s="10" t="n">
        <v>8134000</v>
      </c>
      <c r="AB212" s="10" t="n">
        <v>7595600</v>
      </c>
      <c r="AC212" s="10" t="n">
        <v>7562800</v>
      </c>
      <c r="AD212" s="10" t="n">
        <v>6507600</v>
      </c>
      <c r="AE212" s="10" t="n">
        <v>6157600</v>
      </c>
      <c r="AF212" s="10" t="n">
        <v>1264800</v>
      </c>
      <c r="AG212" s="10" t="n">
        <v>2517600</v>
      </c>
      <c r="AH212" s="10" t="n">
        <v>1110000</v>
      </c>
      <c r="AI212" s="10" t="n">
        <v>1762000</v>
      </c>
    </row>
    <row r="213" customFormat="false" ht="15" hidden="false" customHeight="false" outlineLevel="0" collapsed="false">
      <c r="A213" s="3" t="n">
        <v>210</v>
      </c>
      <c r="B213" s="4" t="s">
        <v>247</v>
      </c>
      <c r="C213" s="5" t="n">
        <v>-23.35</v>
      </c>
      <c r="D213" s="6" t="n">
        <f aca="false">IFERROR(V213/W213-1,"")</f>
        <v>-0.0223333333333334</v>
      </c>
      <c r="E213" s="6" t="n">
        <f aca="false">IFERROR(AA213/AB213-1,"")</f>
        <v>0.03262402256121</v>
      </c>
      <c r="F213" s="3" t="str">
        <f aca="false">IF(OR(D213="",E213=""),"n/a (new)",IF(D213&gt;=0,IF(E213&gt;=0,"Long Buildup","Short Covering"),IF(E213&gt;=0,"Short Buildup","Long Unwinding")))</f>
        <v>Short Buildup</v>
      </c>
      <c r="G213" s="6" t="n">
        <f aca="false">IFERROR(V213/X213-1,"")</f>
        <v>-0.0834375000000001</v>
      </c>
      <c r="H213" s="6" t="n">
        <f aca="false">IFERROR(AA213/AC213-1,"")</f>
        <v>0.175470596818911</v>
      </c>
      <c r="I213" s="3" t="str">
        <f aca="false">IF(OR(G213="",H213=""),"n/a (new)",IF(G213&gt;=0,IF(H213&gt;=0,"Long Buildup","Short Covering"),IF(H213&gt;=0,"Short Buildup","Long Unwinding")))</f>
        <v>Short Buildup</v>
      </c>
      <c r="J213" s="6" t="n">
        <f aca="false">IFERROR(V213/Y213-1,"")</f>
        <v>-0.0928865979381444</v>
      </c>
      <c r="K213" s="6" t="n">
        <f aca="false">IFERROR(AA213/AD213-1,"")</f>
        <v>0.289086253800608</v>
      </c>
      <c r="L213" s="3" t="str">
        <f aca="false">IF(OR(J213="",K213=""),"n/a (new)",IF(J213&gt;=0,IF(K213&gt;=0,"Long Buildup","Short Covering"),IF(K213&gt;=0,"Short Buildup","Long Unwinding")))</f>
        <v>Short Buildup</v>
      </c>
      <c r="M213" s="6" t="n">
        <f aca="false">IFERROR(V213/Z213-1,"")</f>
        <v>-0.154186292415649</v>
      </c>
      <c r="N213" s="6" t="n">
        <f aca="false">IFERROR(AA213/AE213-1,"")</f>
        <v>0.199538381356563</v>
      </c>
      <c r="O213" s="3" t="str">
        <f aca="false">IF(OR(M213="",N213=""),"n/a (new)",IF(M213&gt;=0,IF(N213&gt;=0,"Long Buildup","Short Covering"),IF(N213&gt;=0,"Short Buildup","Long Unwinding")))</f>
        <v>Short Buildup</v>
      </c>
      <c r="P213" s="7" t="n">
        <f aca="false">IFERROR(AF213/AG213,"")</f>
        <v>0.521884744196789</v>
      </c>
      <c r="Q213" s="7" t="n">
        <f aca="false">IFERROR(AH213/AI213,"")</f>
        <v>0.55684811237928</v>
      </c>
      <c r="V213" s="9" t="n">
        <v>87.99</v>
      </c>
      <c r="W213" s="9" t="n">
        <v>90</v>
      </c>
      <c r="X213" s="9" t="n">
        <v>96</v>
      </c>
      <c r="Y213" s="9" t="n">
        <v>97</v>
      </c>
      <c r="Z213" s="9" t="n">
        <v>104.03</v>
      </c>
      <c r="AA213" s="10" t="n">
        <v>78138350</v>
      </c>
      <c r="AB213" s="10" t="n">
        <v>75669700</v>
      </c>
      <c r="AC213" s="10" t="n">
        <v>66474100</v>
      </c>
      <c r="AD213" s="10" t="n">
        <v>60615300</v>
      </c>
      <c r="AE213" s="10" t="n">
        <v>65140350</v>
      </c>
      <c r="AF213" s="10" t="n">
        <v>21917150</v>
      </c>
      <c r="AG213" s="10" t="n">
        <v>41996150</v>
      </c>
      <c r="AH213" s="10" t="n">
        <v>12304450</v>
      </c>
      <c r="AI213" s="10" t="n">
        <v>22096600</v>
      </c>
    </row>
    <row r="214" customFormat="false" ht="15" hidden="false" customHeight="false" outlineLevel="0" collapsed="false">
      <c r="A214" s="3" t="n">
        <v>211</v>
      </c>
      <c r="B214" s="4" t="s">
        <v>248</v>
      </c>
      <c r="C214" s="5" t="n">
        <v>-24.04</v>
      </c>
      <c r="D214" s="6" t="n">
        <f aca="false">IFERROR(V214/W214-1,"")</f>
        <v>-0.00658962217291959</v>
      </c>
      <c r="E214" s="6" t="n">
        <f aca="false">IFERROR(AA214/AB214-1,"")</f>
        <v>0.00499857183661812</v>
      </c>
      <c r="F214" s="3" t="str">
        <f aca="false">IF(OR(D214="",E214=""),"n/a (new)",IF(D214&gt;=0,IF(E214&gt;=0,"Long Buildup","Short Covering"),IF(E214&gt;=0,"Short Buildup","Long Unwinding")))</f>
        <v>Short Buildup</v>
      </c>
      <c r="G214" s="6" t="n">
        <f aca="false">IFERROR(V214/X214-1,"")</f>
        <v>-0.0442903172956147</v>
      </c>
      <c r="H214" s="6" t="n">
        <f aca="false">IFERROR(AA214/AC214-1,"")</f>
        <v>0.0135388160737433</v>
      </c>
      <c r="I214" s="3" t="str">
        <f aca="false">IF(OR(G214="",H214=""),"n/a (new)",IF(G214&gt;=0,IF(H214&gt;=0,"Long Buildup","Short Covering"),IF(H214&gt;=0,"Short Buildup","Long Unwinding")))</f>
        <v>Short Buildup</v>
      </c>
      <c r="J214" s="6" t="n">
        <f aca="false">IFERROR(V214/Y214-1,"")</f>
        <v>-0.0629685157421289</v>
      </c>
      <c r="K214" s="6" t="n">
        <f aca="false">IFERROR(AA214/AD214-1,"")</f>
        <v>0.347654005745292</v>
      </c>
      <c r="L214" s="3" t="str">
        <f aca="false">IF(OR(J214="",K214=""),"n/a (new)",IF(J214&gt;=0,IF(K214&gt;=0,"Long Buildup","Short Covering"),IF(K214&gt;=0,"Short Buildup","Long Unwinding")))</f>
        <v>Short Buildup</v>
      </c>
      <c r="M214" s="6" t="n">
        <f aca="false">IFERROR(V214/Z214-1,"")</f>
        <v>-0.184149184149184</v>
      </c>
      <c r="N214" s="6" t="n">
        <f aca="false">IFERROR(AA214/AE214-1,"")</f>
        <v>0.695798859346132</v>
      </c>
      <c r="O214" s="3" t="str">
        <f aca="false">IF(OR(M214="",N214=""),"n/a (new)",IF(M214&gt;=0,IF(N214&gt;=0,"Long Buildup","Short Covering"),IF(N214&gt;=0,"Short Buildup","Long Unwinding")))</f>
        <v>Short Buildup</v>
      </c>
      <c r="P214" s="7" t="n">
        <f aca="false">IFERROR(AF214/AG214,"")</f>
        <v>0.466596130592503</v>
      </c>
      <c r="Q214" s="7" t="n">
        <f aca="false">IFERROR(AH214/AI214,"")</f>
        <v>0.641572691252667</v>
      </c>
      <c r="V214" s="9" t="n">
        <v>2100</v>
      </c>
      <c r="W214" s="9" t="n">
        <v>2113.93</v>
      </c>
      <c r="X214" s="9" t="n">
        <v>2197.32</v>
      </c>
      <c r="Y214" s="9" t="n">
        <v>2241.12</v>
      </c>
      <c r="Z214" s="9" t="n">
        <v>2574</v>
      </c>
      <c r="AA214" s="10" t="n">
        <v>4222200</v>
      </c>
      <c r="AB214" s="10" t="n">
        <v>4201200</v>
      </c>
      <c r="AC214" s="10" t="n">
        <v>4165800</v>
      </c>
      <c r="AD214" s="10" t="n">
        <v>3133000</v>
      </c>
      <c r="AE214" s="10" t="n">
        <v>2489800</v>
      </c>
      <c r="AF214" s="10" t="n">
        <v>617400</v>
      </c>
      <c r="AG214" s="10" t="n">
        <v>1323200</v>
      </c>
      <c r="AH214" s="10" t="n">
        <v>421000</v>
      </c>
      <c r="AI214" s="10" t="n">
        <v>656200</v>
      </c>
    </row>
    <row r="215" customFormat="false" ht="15" hidden="false" customHeight="false" outlineLevel="0" collapsed="false">
      <c r="A215" s="3" t="n">
        <v>212</v>
      </c>
      <c r="B215" s="4" t="s">
        <v>249</v>
      </c>
      <c r="C215" s="5" t="n">
        <v>-24.08</v>
      </c>
      <c r="D215" s="6" t="n">
        <f aca="false">IFERROR(V215/W215-1,"")</f>
        <v>-0.0219378427787934</v>
      </c>
      <c r="E215" s="6" t="n">
        <f aca="false">IFERROR(AA215/AB215-1,"")</f>
        <v>0.0357816268362201</v>
      </c>
      <c r="F215" s="3" t="str">
        <f aca="false">IF(OR(D215="",E215=""),"n/a (new)",IF(D215&gt;=0,IF(E215&gt;=0,"Long Buildup","Short Covering"),IF(E215&gt;=0,"Short Buildup","Long Unwinding")))</f>
        <v>Short Buildup</v>
      </c>
      <c r="G215" s="6" t="n">
        <f aca="false">IFERROR(V215/X215-1,"")</f>
        <v>-0.0828571428571429</v>
      </c>
      <c r="H215" s="6" t="n">
        <f aca="false">IFERROR(AA215/AC215-1,"")</f>
        <v>0.110922986478542</v>
      </c>
      <c r="I215" s="3" t="str">
        <f aca="false">IF(OR(G215="",H215=""),"n/a (new)",IF(G215&gt;=0,IF(H215&gt;=0,"Long Buildup","Short Covering"),IF(H215&gt;=0,"Short Buildup","Long Unwinding")))</f>
        <v>Short Buildup</v>
      </c>
      <c r="J215" s="6" t="n">
        <f aca="false">IFERROR(V215/Y215-1,"")</f>
        <v>-0.215158924205379</v>
      </c>
      <c r="K215" s="6" t="n">
        <f aca="false">IFERROR(AA215/AD215-1,"")</f>
        <v>0.155089366488178</v>
      </c>
      <c r="L215" s="3" t="str">
        <f aca="false">IF(OR(J215="",K215=""),"n/a (new)",IF(J215&gt;=0,IF(K215&gt;=0,"Long Buildup","Short Covering"),IF(K215&gt;=0,"Short Buildup","Long Unwinding")))</f>
        <v>Short Buildup</v>
      </c>
      <c r="M215" s="6" t="n">
        <f aca="false">IFERROR(V215/Z215-1,"")</f>
        <v>-0.308189655172414</v>
      </c>
      <c r="N215" s="6" t="n">
        <f aca="false">IFERROR(AA215/AE215-1,"")</f>
        <v>0.198335996753164</v>
      </c>
      <c r="O215" s="3" t="str">
        <f aca="false">IF(OR(M215="",N215=""),"n/a (new)",IF(M215&gt;=0,IF(N215&gt;=0,"Long Buildup","Short Covering"),IF(N215&gt;=0,"Short Buildup","Long Unwinding")))</f>
        <v>Short Buildup</v>
      </c>
      <c r="P215" s="7" t="n">
        <f aca="false">IFERROR(AF215/AG215,"")</f>
        <v>0.415735106834583</v>
      </c>
      <c r="Q215" s="7" t="n">
        <f aca="false">IFERROR(AH215/AI215,"")</f>
        <v>0.678200408997955</v>
      </c>
      <c r="V215" s="9" t="n">
        <v>16.05</v>
      </c>
      <c r="W215" s="9" t="n">
        <v>16.41</v>
      </c>
      <c r="X215" s="9" t="n">
        <v>17.5</v>
      </c>
      <c r="Y215" s="9" t="n">
        <v>20.45</v>
      </c>
      <c r="Z215" s="9" t="n">
        <v>23.2</v>
      </c>
      <c r="AA215" s="10" t="n">
        <v>1469226200</v>
      </c>
      <c r="AB215" s="10" t="n">
        <v>1418471000</v>
      </c>
      <c r="AC215" s="10" t="n">
        <v>1322527500</v>
      </c>
      <c r="AD215" s="10" t="n">
        <v>1271958900</v>
      </c>
      <c r="AE215" s="10" t="n">
        <v>1226055300</v>
      </c>
      <c r="AF215" s="10" t="n">
        <v>456859000</v>
      </c>
      <c r="AG215" s="10" t="n">
        <v>1098918500</v>
      </c>
      <c r="AH215" s="10" t="n">
        <v>257850100</v>
      </c>
      <c r="AI215" s="10" t="n">
        <v>380197500</v>
      </c>
    </row>
    <row r="216" customFormat="false" ht="15" hidden="false" customHeight="false" outlineLevel="0" collapsed="false">
      <c r="A216" s="3" t="n">
        <v>213</v>
      </c>
      <c r="B216" s="4" t="s">
        <v>250</v>
      </c>
      <c r="C216" s="5" t="n">
        <v>-24.91</v>
      </c>
      <c r="D216" s="6" t="n">
        <f aca="false">IFERROR(V216/W216-1,"")</f>
        <v>-0.0144933943538723</v>
      </c>
      <c r="E216" s="6" t="n">
        <f aca="false">IFERROR(AA216/AB216-1,"")</f>
        <v>0.0275020792902689</v>
      </c>
      <c r="F216" s="3" t="str">
        <f aca="false">IF(OR(D216="",E216=""),"n/a (new)",IF(D216&gt;=0,IF(E216&gt;=0,"Long Buildup","Short Covering"),IF(E216&gt;=0,"Short Buildup","Long Unwinding")))</f>
        <v>Short Buildup</v>
      </c>
      <c r="G216" s="6" t="n">
        <f aca="false">IFERROR(V216/X216-1,"")</f>
        <v>-0.0494992001317429</v>
      </c>
      <c r="H216" s="6" t="n">
        <f aca="false">IFERROR(AA216/AC216-1,"")</f>
        <v>0.311743469951157</v>
      </c>
      <c r="I216" s="3" t="str">
        <f aca="false">IF(OR(G216="",H216=""),"n/a (new)",IF(G216&gt;=0,IF(H216&gt;=0,"Long Buildup","Short Covering"),IF(H216&gt;=0,"Short Buildup","Long Unwinding")))</f>
        <v>Short Buildup</v>
      </c>
      <c r="J216" s="6" t="n">
        <f aca="false">IFERROR(V216/Y216-1,"")</f>
        <v>-0.0451299852289512</v>
      </c>
      <c r="K216" s="6" t="n">
        <f aca="false">IFERROR(AA216/AD216-1,"")</f>
        <v>0.46016862343393</v>
      </c>
      <c r="L216" s="3" t="str">
        <f aca="false">IF(OR(J216="",K216=""),"n/a (new)",IF(J216&gt;=0,IF(K216&gt;=0,"Long Buildup","Short Covering"),IF(K216&gt;=0,"Short Buildup","Long Unwinding")))</f>
        <v>Short Buildup</v>
      </c>
      <c r="M216" s="6" t="n">
        <f aca="false">IFERROR(V216/Z216-1,"")</f>
        <v>-0.0922409374627002</v>
      </c>
      <c r="N216" s="6" t="n">
        <f aca="false">IFERROR(AA216/AE216-1,"")</f>
        <v>0.31211498973306</v>
      </c>
      <c r="O216" s="3" t="str">
        <f aca="false">IF(OR(M216="",N216=""),"n/a (new)",IF(M216&gt;=0,IF(N216&gt;=0,"Long Buildup","Short Covering"),IF(N216&gt;=0,"Short Buildup","Long Unwinding")))</f>
        <v>Short Buildup</v>
      </c>
      <c r="P216" s="7" t="n">
        <f aca="false">IFERROR(AF216/AG216,"")</f>
        <v>0.435747405608302</v>
      </c>
      <c r="Q216" s="7" t="n">
        <f aca="false">IFERROR(AH216/AI216,"")</f>
        <v>0.841996173469388</v>
      </c>
      <c r="V216" s="9" t="n">
        <v>6464.47</v>
      </c>
      <c r="W216" s="9" t="n">
        <v>6559.54</v>
      </c>
      <c r="X216" s="9" t="n">
        <v>6801.12</v>
      </c>
      <c r="Y216" s="9" t="n">
        <v>6770</v>
      </c>
      <c r="Z216" s="9" t="n">
        <v>7121.35</v>
      </c>
      <c r="AA216" s="10" t="n">
        <v>2316375</v>
      </c>
      <c r="AB216" s="10" t="n">
        <v>2254375</v>
      </c>
      <c r="AC216" s="10" t="n">
        <v>1765875</v>
      </c>
      <c r="AD216" s="10" t="n">
        <v>1586375</v>
      </c>
      <c r="AE216" s="10" t="n">
        <v>1765375</v>
      </c>
      <c r="AF216" s="10" t="n">
        <v>986750</v>
      </c>
      <c r="AG216" s="10" t="n">
        <v>2264500</v>
      </c>
      <c r="AH216" s="10" t="n">
        <v>660125</v>
      </c>
      <c r="AI216" s="10" t="n">
        <v>784000</v>
      </c>
    </row>
  </sheetData>
  <autoFilter ref="A3:T216"/>
  <conditionalFormatting sqref="F4:F216">
    <cfRule type="expression" priority="2" aboveAverage="0" equalAverage="0" bottom="0" percent="0" rank="0" text="" dxfId="9">
      <formula>F4="Long Buildup"</formula>
    </cfRule>
    <cfRule type="expression" priority="3" aboveAverage="0" equalAverage="0" bottom="0" percent="0" rank="0" text="" dxfId="10">
      <formula>F4="Short Covering"</formula>
    </cfRule>
    <cfRule type="expression" priority="4" aboveAverage="0" equalAverage="0" bottom="0" percent="0" rank="0" text="" dxfId="11">
      <formula>F4="Short Buildup"</formula>
    </cfRule>
    <cfRule type="expression" priority="5" aboveAverage="0" equalAverage="0" bottom="0" percent="0" rank="0" text="" dxfId="12">
      <formula>F4="Long Unwinding"</formula>
    </cfRule>
  </conditionalFormatting>
  <conditionalFormatting sqref="I4:I216">
    <cfRule type="expression" priority="6" aboveAverage="0" equalAverage="0" bottom="0" percent="0" rank="0" text="" dxfId="9">
      <formula>I4="Long Buildup"</formula>
    </cfRule>
    <cfRule type="expression" priority="7" aboveAverage="0" equalAverage="0" bottom="0" percent="0" rank="0" text="" dxfId="10">
      <formula>I4="Short Covering"</formula>
    </cfRule>
    <cfRule type="expression" priority="8" aboveAverage="0" equalAverage="0" bottom="0" percent="0" rank="0" text="" dxfId="11">
      <formula>I4="Short Buildup"</formula>
    </cfRule>
    <cfRule type="expression" priority="9" aboveAverage="0" equalAverage="0" bottom="0" percent="0" rank="0" text="" dxfId="12">
      <formula>I4="Long Unwinding"</formula>
    </cfRule>
  </conditionalFormatting>
  <conditionalFormatting sqref="L4:L216">
    <cfRule type="expression" priority="10" aboveAverage="0" equalAverage="0" bottom="0" percent="0" rank="0" text="" dxfId="9">
      <formula>L4="Long Buildup"</formula>
    </cfRule>
    <cfRule type="expression" priority="11" aboveAverage="0" equalAverage="0" bottom="0" percent="0" rank="0" text="" dxfId="10">
      <formula>L4="Short Covering"</formula>
    </cfRule>
    <cfRule type="expression" priority="12" aboveAverage="0" equalAverage="0" bottom="0" percent="0" rank="0" text="" dxfId="11">
      <formula>L4="Short Buildup"</formula>
    </cfRule>
    <cfRule type="expression" priority="13" aboveAverage="0" equalAverage="0" bottom="0" percent="0" rank="0" text="" dxfId="12">
      <formula>L4="Long Unwinding"</formula>
    </cfRule>
  </conditionalFormatting>
  <conditionalFormatting sqref="O4:O216">
    <cfRule type="expression" priority="14" aboveAverage="0" equalAverage="0" bottom="0" percent="0" rank="0" text="" dxfId="9">
      <formula>O4="Long Buildup"</formula>
    </cfRule>
    <cfRule type="expression" priority="15" aboveAverage="0" equalAverage="0" bottom="0" percent="0" rank="0" text="" dxfId="10">
      <formula>O4="Short Covering"</formula>
    </cfRule>
    <cfRule type="expression" priority="16" aboveAverage="0" equalAverage="0" bottom="0" percent="0" rank="0" text="" dxfId="11">
      <formula>O4="Short Buildup"</formula>
    </cfRule>
    <cfRule type="expression" priority="17" aboveAverage="0" equalAverage="0" bottom="0" percent="0" rank="0" text="" dxfId="12">
      <formula>O4="Long Unwinding"</formula>
    </cfRule>
  </conditionalFormatting>
  <conditionalFormatting sqref="T4:T216">
    <cfRule type="expression" priority="18" aboveAverage="0" equalAverage="0" bottom="0" percent="0" rank="0" text="" dxfId="9">
      <formula>T4="Long Buildup"</formula>
    </cfRule>
    <cfRule type="expression" priority="19" aboveAverage="0" equalAverage="0" bottom="0" percent="0" rank="0" text="" dxfId="10">
      <formula>T4="Short Covering"</formula>
    </cfRule>
    <cfRule type="expression" priority="20" aboveAverage="0" equalAverage="0" bottom="0" percent="0" rank="0" text="" dxfId="11">
      <formula>T4="Short Buildup"</formula>
    </cfRule>
    <cfRule type="expression" priority="21" aboveAverage="0" equalAverage="0" bottom="0" percent="0" rank="0" text="" dxfId="12">
      <formula>T4="Long Unwinding"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1" t="s">
        <v>251</v>
      </c>
      <c r="B1" s="12"/>
    </row>
    <row r="2" customFormat="false" ht="15" hidden="false" customHeight="false" outlineLevel="0" collapsed="false">
      <c r="A2" s="11" t="s">
        <v>36</v>
      </c>
      <c r="B2" s="12" t="s">
        <v>252</v>
      </c>
    </row>
    <row r="3" customFormat="false" ht="15" hidden="false" customHeight="false" outlineLevel="0" collapsed="false">
      <c r="A3" s="11" t="s">
        <v>253</v>
      </c>
      <c r="B3" s="12" t="s">
        <v>254</v>
      </c>
    </row>
    <row r="4" customFormat="false" ht="15" hidden="false" customHeight="false" outlineLevel="0" collapsed="false">
      <c r="A4" s="11" t="s">
        <v>38</v>
      </c>
      <c r="B4" s="12" t="s">
        <v>255</v>
      </c>
    </row>
    <row r="5" customFormat="false" ht="15" hidden="false" customHeight="false" outlineLevel="0" collapsed="false">
      <c r="A5" s="11" t="s">
        <v>44</v>
      </c>
      <c r="B5" s="12" t="s">
        <v>256</v>
      </c>
    </row>
    <row r="6" customFormat="false" ht="26.85" hidden="false" customHeight="false" outlineLevel="0" collapsed="false">
      <c r="A6" s="11" t="s">
        <v>257</v>
      </c>
      <c r="B6" s="12" t="s">
        <v>258</v>
      </c>
    </row>
    <row r="7" customFormat="false" ht="15" hidden="false" customHeight="false" outlineLevel="0" collapsed="false">
      <c r="A7" s="11" t="s">
        <v>259</v>
      </c>
      <c r="B7" s="12" t="s">
        <v>260</v>
      </c>
    </row>
    <row r="8" customFormat="false" ht="26.85" hidden="false" customHeight="false" outlineLevel="0" collapsed="false">
      <c r="A8" s="11" t="s">
        <v>261</v>
      </c>
      <c r="B8" s="12" t="s">
        <v>262</v>
      </c>
    </row>
    <row r="9" customFormat="false" ht="39.55" hidden="false" customHeight="false" outlineLevel="0" collapsed="false">
      <c r="A9" s="11" t="s">
        <v>3</v>
      </c>
      <c r="B9" s="12" t="s">
        <v>263</v>
      </c>
    </row>
    <row r="10" customFormat="false" ht="26.85" hidden="false" customHeight="false" outlineLevel="0" collapsed="false">
      <c r="A10" s="11" t="s">
        <v>264</v>
      </c>
      <c r="B10" s="12" t="s">
        <v>265</v>
      </c>
    </row>
    <row r="11" customFormat="false" ht="15" hidden="false" customHeight="false" outlineLevel="0" collapsed="false">
      <c r="A11" s="11" t="s">
        <v>266</v>
      </c>
      <c r="B11" s="12" t="s">
        <v>267</v>
      </c>
    </row>
    <row r="12" customFormat="false" ht="26.85" hidden="false" customHeight="false" outlineLevel="0" collapsed="false">
      <c r="A12" s="11" t="s">
        <v>268</v>
      </c>
      <c r="B12" s="12" t="s">
        <v>269</v>
      </c>
    </row>
    <row r="13" customFormat="false" ht="26.85" hidden="false" customHeight="false" outlineLevel="0" collapsed="false">
      <c r="A13" s="11" t="s">
        <v>270</v>
      </c>
      <c r="B13" s="12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2026-10-23T05:33:56Z</dcterms:created>
  <dc:creator>openpyxl</dc:creator>
  <dc:description/>
  <dc:language>en-US</dc:language>
  <cp:lastModifiedBy/>
  <dcterms:modified xsi:type="dcterms:W3CDTF">2026-10-23T05:33:56Z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